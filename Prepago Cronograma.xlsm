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ky\Documents\"/>
    </mc:Choice>
  </mc:AlternateContent>
  <xr:revisionPtr revIDLastSave="0" documentId="13_ncr:1_{7092286E-133B-4DFD-B4EE-F96D2527CE8D}" xr6:coauthVersionLast="47" xr6:coauthVersionMax="47" xr10:uidLastSave="{00000000-0000-0000-0000-000000000000}"/>
  <bookViews>
    <workbookView xWindow="-120" yWindow="-120" windowWidth="29040" windowHeight="15840" xr2:uid="{1A562C91-29F8-4119-9EE1-BAB610DC0F32}"/>
  </bookViews>
  <sheets>
    <sheet name="CHECK" sheetId="6" r:id="rId1"/>
    <sheet name="Inicio" sheetId="1" state="hidden" r:id="rId2"/>
    <sheet name="Cronograma" sheetId="5" state="hidden" r:id="rId3"/>
    <sheet name="CuotasPagadas" sheetId="3" state="hidden" r:id="rId4"/>
    <sheet name="Datos" sheetId="2" state="hidden" r:id="rId5"/>
  </sheets>
  <functionGroups builtInGroupCount="19"/>
  <externalReferences>
    <externalReference r:id="rId6"/>
  </externalReferences>
  <definedNames>
    <definedName name="Ajuste">Datos!$B$1</definedName>
    <definedName name="Aporte">Inicio!$C$25</definedName>
    <definedName name="Aporte2">Inicio!$F$25</definedName>
    <definedName name="cronoLinea3">Cronograma!$B$7</definedName>
    <definedName name="cronoTramo3">Cronograma!$R$2</definedName>
    <definedName name="CuotaDobleEnero">Datos!$F$1</definedName>
    <definedName name="Cuotas_Pagadas">Inicio!$C$18</definedName>
    <definedName name="Cuotas_Pendientes">Inicio!$C$19</definedName>
    <definedName name="Cuotas_Pendientes2">Inicio!$F$19</definedName>
    <definedName name="CuotasGraciaTotal">Inicio!$F$15</definedName>
    <definedName name="dataSetCronograma">Cronograma!$B$5:$M$5</definedName>
    <definedName name="dataSetCuotasPagadas">CuotasPagadas!$A$2:$L$2</definedName>
    <definedName name="DatosPrestamo">Inicio!$A$9:$A$25</definedName>
    <definedName name="Desgravamen">Inicio!$C$22</definedName>
    <definedName name="Desgravamen2">Inicio!$F$22</definedName>
    <definedName name="Dia_de_Pago">Inicio!$C$14</definedName>
    <definedName name="Dia_de_Pago2">Inicio!$F$14</definedName>
    <definedName name="DiasCronograma">Cronograma!$D$3</definedName>
    <definedName name="EditarPrestamo">Inicio!$E$2:$G$2</definedName>
    <definedName name="FECHA_DESEMBOLSO" localSheetId="0">[1]INICIO!$C$18</definedName>
    <definedName name="Fecha_Desembolso">Inicio!$C$13</definedName>
    <definedName name="FechaCronograma">Cronograma!$C$3</definedName>
    <definedName name="FechaUltimoPago">Datos!$B$2</definedName>
    <definedName name="InicioCuotas">Cronograma!$B$5</definedName>
    <definedName name="InteresFinal">Cronograma!$N$3</definedName>
    <definedName name="Mantener">Datos!$B$5</definedName>
    <definedName name="Meses">Datos!$E$1:$E$12</definedName>
    <definedName name="Monto_Cuota">Inicio!$C$17</definedName>
    <definedName name="Monto_Cuota2">Inicio!$F$17</definedName>
    <definedName name="Monto_Desembolso">Inicio!$C$15</definedName>
    <definedName name="MostrarEditar">Datos!$J$1</definedName>
    <definedName name="MultiploCuota">Datos!$G$1</definedName>
    <definedName name="Numero">Inicio!$C$4</definedName>
    <definedName name="Periodo">Inicio!$C$3</definedName>
    <definedName name="ProximoMes">Datos!$B$4</definedName>
    <definedName name="Saldo">Inicio!$C$16</definedName>
    <definedName name="SaldoFinal">Cronograma!$M$3</definedName>
    <definedName name="SaltoCuota">Inicio!$F$18</definedName>
    <definedName name="Seguro_Bien">Inicio!$C$23</definedName>
    <definedName name="Seguro_Bien2">Inicio!$F$23</definedName>
    <definedName name="Servicio_Adicional">Inicio!$C$24</definedName>
    <definedName name="Servicio_Adicional2">Inicio!$F$24</definedName>
    <definedName name="T.E.A.">Inicio!$C$21</definedName>
    <definedName name="T.E.M.">Inicio!$C$20</definedName>
    <definedName name="TienePrepagoPend">Datos!$B$6</definedName>
    <definedName name="TotalCuota">Cronograma!$F$3</definedName>
    <definedName name="tramaCabecera">Cronograma!$P$2</definedName>
    <definedName name="TramoMayor">Datos!$B$3</definedName>
    <definedName name="UltimoPagoRegular">Datos!$B$7</definedName>
    <definedName name="version">Inicio!$A$1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5" l="1"/>
  <c r="K6" i="5"/>
  <c r="J6" i="5"/>
  <c r="I6" i="5"/>
  <c r="L5" i="5"/>
  <c r="K5" i="5"/>
  <c r="J5" i="5"/>
  <c r="I5" i="5"/>
  <c r="E5" i="5"/>
  <c r="B5" i="5"/>
  <c r="B6" i="5" s="1"/>
  <c r="B2" i="2"/>
  <c r="B4" i="2" s="1"/>
  <c r="C5" i="5" s="1"/>
  <c r="C6" i="5" s="1"/>
  <c r="G1" i="2"/>
  <c r="F6" i="5" l="1"/>
  <c r="F5" i="5" s="1"/>
  <c r="D6" i="5"/>
  <c r="B3" i="2" s="1"/>
  <c r="D5" i="5"/>
  <c r="P5" i="5" l="1"/>
  <c r="Q5" i="5" s="1"/>
  <c r="O5" i="5" s="1"/>
  <c r="H5" i="5" l="1"/>
  <c r="G5" i="5" s="1"/>
  <c r="M5" i="5" s="1"/>
  <c r="E6" i="5" s="1"/>
  <c r="N5" i="5" l="1"/>
  <c r="P6" i="5"/>
  <c r="Q6" i="5" s="1"/>
  <c r="O6" i="5" s="1"/>
  <c r="H6" i="5" l="1"/>
  <c r="G6" i="5" s="1"/>
  <c r="M6" i="5" s="1"/>
  <c r="N6" i="5" l="1"/>
</calcChain>
</file>

<file path=xl/sharedStrings.xml><?xml version="1.0" encoding="utf-8"?>
<sst xmlns="http://schemas.openxmlformats.org/spreadsheetml/2006/main" count="76" uniqueCount="67">
  <si>
    <t>Fecha Desembolso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</si>
  <si>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</si>
  <si>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</si>
  <si>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</si>
  <si>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</si>
  <si>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</si>
  <si>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</si>
  <si>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</si>
  <si>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</si>
  <si>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</si>
  <si>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</si>
  <si>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</si>
  <si>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</si>
  <si>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NUMEROITEM</t>
  </si>
  <si>
    <t>DIAS</t>
  </si>
  <si>
    <t>SALDOINICIAL</t>
  </si>
  <si>
    <t>TOTALCUOTA</t>
  </si>
  <si>
    <t>AMORTIZACION</t>
  </si>
  <si>
    <t>INTERES</t>
  </si>
  <si>
    <t>DESGRAVAMEN</t>
  </si>
  <si>
    <t>SEGUROBIEN</t>
  </si>
  <si>
    <t>APORTES</t>
  </si>
  <si>
    <t>SALDOFINAL</t>
  </si>
  <si>
    <t>Monto Desembolso</t>
  </si>
  <si>
    <t>Monto Cuota</t>
  </si>
  <si>
    <t>Día de Pago</t>
  </si>
  <si>
    <t>Fecha</t>
  </si>
  <si>
    <t>Dias</t>
  </si>
  <si>
    <t>SaldoInicial</t>
  </si>
  <si>
    <t>TotalCuota</t>
  </si>
  <si>
    <t>Amortizacion</t>
  </si>
  <si>
    <t>Interes</t>
  </si>
  <si>
    <t>Seguro Des.</t>
  </si>
  <si>
    <t>Seg.Bien</t>
  </si>
  <si>
    <t>Apor.</t>
  </si>
  <si>
    <t>SaldoFinal</t>
  </si>
  <si>
    <t>Saldo</t>
  </si>
  <si>
    <t>Desgravamen</t>
  </si>
  <si>
    <t>Seguro Bien</t>
  </si>
  <si>
    <t>Aporte</t>
  </si>
  <si>
    <t>Cuota</t>
  </si>
  <si>
    <t>SumaInteres</t>
  </si>
  <si>
    <t>InteresFinal</t>
  </si>
  <si>
    <t>Mantener</t>
  </si>
  <si>
    <t>FECHAVENCIMIENTO</t>
  </si>
  <si>
    <t>Habilitar Macros para utilizar esta plantilla</t>
  </si>
  <si>
    <t>Ajuste</t>
  </si>
  <si>
    <t>Periodo:</t>
  </si>
  <si>
    <t>Número:</t>
  </si>
  <si>
    <t>Datos del Prestamo</t>
  </si>
  <si>
    <t>T.E.M.</t>
  </si>
  <si>
    <t>Cuotas Pagadas</t>
  </si>
  <si>
    <t>MostrarEditar</t>
  </si>
  <si>
    <t>FechaUltimoPago</t>
  </si>
  <si>
    <t>Serv. Adicional</t>
  </si>
  <si>
    <t>Serv.Adicional</t>
  </si>
  <si>
    <t>SERVICIOADICIONAL</t>
  </si>
  <si>
    <t>Cuotas Gracia Total</t>
  </si>
  <si>
    <t>TramoMayor</t>
  </si>
  <si>
    <t>ProximoMes</t>
  </si>
  <si>
    <t>Num.Cuotas Pendientes</t>
  </si>
  <si>
    <t>Plazo</t>
  </si>
  <si>
    <t>TienePrepagoPend</t>
  </si>
  <si>
    <t>UltimoPagoRegular</t>
  </si>
  <si>
    <t>Periodicidad Mes</t>
  </si>
  <si>
    <t>T.E.A.</t>
  </si>
  <si>
    <t>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</si>
</sst>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 * #,##0.00_ ;_ * \-#,##0.00_ ;_ * &quot;-&quot;??_ ;_ @_ "/>
    <numFmt numFmtId="166" formatCode="#,##0.00_ ;\-#,##0.00\ "/>
    <numFmt numFmtId="167" formatCode="_-\ #,##0.00_ ;_-\ \-#,##0.00\ ;_-\ &quot;-&quot;??_ ;_-@_ 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/>
    <xf numFmtId="14" fontId="0" fillId="0" borderId="0" xfId="0" applyNumberFormat="1" applyAlignment="1">
      <alignment horizontal="right"/>
    </xf>
    <xf numFmtId="0" fontId="0" fillId="0" borderId="0" xfId="0"/>
    <xf numFmtId="166" fontId="0" fillId="0" borderId="0" xfId="1" applyNumberFormat="1" applyFont="1"/>
    <xf numFmtId="0" fontId="0" fillId="0" borderId="0" xfId="0"/>
    <xf numFmtId="0" fontId="4" fillId="0" borderId="0" xfId="0" applyFont="1"/>
    <xf numFmtId="14" fontId="0" fillId="0" borderId="0" xfId="0" applyNumberFormat="1"/>
    <xf numFmtId="0" fontId="0" fillId="0" borderId="0" xfId="0" applyNumberFormat="1"/>
    <xf numFmtId="9" fontId="0" fillId="0" borderId="0" xfId="2" applyFont="1"/>
    <xf numFmtId="0" fontId="0" fillId="0" borderId="0" xfId="0" applyFont="1"/>
    <xf numFmtId="1" fontId="0" fillId="0" borderId="0" xfId="0" applyNumberFormat="1"/>
    <xf numFmtId="15" fontId="0" fillId="0" borderId="0" xfId="0" applyNumberFormat="1"/>
    <xf numFmtId="0" fontId="3" fillId="0" borderId="0" xfId="0" applyFont="1"/>
    <xf numFmtId="14" fontId="3" fillId="0" borderId="0" xfId="0" applyNumberFormat="1" applyFont="1"/>
    <xf numFmtId="0" fontId="3" fillId="0" borderId="0" xfId="0" applyNumberFormat="1" applyFont="1"/>
    <xf numFmtId="166" fontId="3" fillId="0" borderId="0" xfId="1" applyNumberFormat="1" applyFont="1"/>
    <xf numFmtId="0" fontId="5" fillId="0" borderId="0" xfId="0" applyFont="1"/>
    <xf numFmtId="167" fontId="0" fillId="0" borderId="0" xfId="0" applyNumberFormat="1"/>
    <xf numFmtId="0" fontId="3" fillId="0" borderId="1" xfId="0" applyFont="1" applyBorder="1" applyAlignment="1">
      <alignment horizontal="right"/>
    </xf>
    <xf numFmtId="14" fontId="7" fillId="2" borderId="1" xfId="0" applyNumberFormat="1" applyFont="1" applyFill="1" applyBorder="1" applyAlignment="1">
      <alignment horizontal="right"/>
    </xf>
    <xf numFmtId="0" fontId="7" fillId="2" borderId="1" xfId="0" applyFont="1" applyFill="1" applyBorder="1"/>
    <xf numFmtId="164" fontId="7" fillId="2" borderId="1" xfId="1" applyFont="1" applyFill="1" applyBorder="1"/>
    <xf numFmtId="9" fontId="7" fillId="2" borderId="1" xfId="2" applyFont="1" applyFill="1" applyBorder="1"/>
    <xf numFmtId="4" fontId="7" fillId="2" borderId="1" xfId="1" applyNumberFormat="1" applyFont="1" applyFill="1" applyBorder="1"/>
    <xf numFmtId="0" fontId="3" fillId="0" borderId="2" xfId="0" applyFont="1" applyBorder="1" applyAlignment="1">
      <alignment horizontal="right"/>
    </xf>
    <xf numFmtId="0" fontId="0" fillId="3" borderId="3" xfId="0" applyFill="1" applyBorder="1" applyProtection="1">
      <protection locked="0"/>
    </xf>
    <xf numFmtId="0" fontId="0" fillId="0" borderId="0" xfId="0" applyProtection="1">
      <protection locked="0"/>
    </xf>
    <xf numFmtId="0" fontId="7" fillId="2" borderId="1" xfId="1" applyNumberFormat="1" applyFont="1" applyFill="1" applyBorder="1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3" borderId="1" xfId="0" applyFon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164" fontId="8" fillId="3" borderId="1" xfId="1" applyFont="1" applyFill="1" applyBorder="1" applyProtection="1">
      <protection locked="0"/>
    </xf>
    <xf numFmtId="4" fontId="0" fillId="3" borderId="1" xfId="1" applyNumberFormat="1" applyFont="1" applyFill="1" applyBorder="1" applyProtection="1">
      <protection locked="0"/>
    </xf>
  </cellXfs>
  <cellStyles count="4">
    <cellStyle name="Millares" xfId="1" builtinId="3"/>
    <cellStyle name="Millares 2" xfId="3" xr:uid="{D46FE8F0-2393-4A85-BE97-8763B6E9B380}"/>
    <cellStyle name="Normal" xfId="0" builtinId="0"/>
    <cellStyle name="Porcentaje" xfId="2" builtinId="5"/>
  </cellStyles>
  <dxfs count="11">
    <dxf>
      <font>
        <color theme="1" tint="0.34998626667073579"/>
      </font>
      <fill>
        <patternFill>
          <bgColor theme="0" tint="-0.14996795556505021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Datos!$B$5" fmlaRange="Datos!$N$1:$N$2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4</xdr:row>
          <xdr:rowOff>114300</xdr:rowOff>
        </xdr:from>
        <xdr:to>
          <xdr:col>2</xdr:col>
          <xdr:colOff>352425</xdr:colOff>
          <xdr:row>6</xdr:row>
          <xdr:rowOff>76200</xdr:rowOff>
        </xdr:to>
        <xdr:sp macro="" textlink="">
          <xdr:nvSpPr>
            <xdr:cNvPr id="1026" name="btnBusc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8</xdr:row>
          <xdr:rowOff>104775</xdr:rowOff>
        </xdr:from>
        <xdr:to>
          <xdr:col>2</xdr:col>
          <xdr:colOff>342900</xdr:colOff>
          <xdr:row>10</xdr:row>
          <xdr:rowOff>66675</xdr:rowOff>
        </xdr:to>
        <xdr:sp macro="" textlink="">
          <xdr:nvSpPr>
            <xdr:cNvPr id="1032" name="btnGene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76200</xdr:rowOff>
        </xdr:from>
        <xdr:to>
          <xdr:col>3</xdr:col>
          <xdr:colOff>590550</xdr:colOff>
          <xdr:row>19</xdr:row>
          <xdr:rowOff>161925</xdr:rowOff>
        </xdr:to>
        <xdr:sp macro="" textlink="">
          <xdr:nvSpPr>
            <xdr:cNvPr id="1033" name="btnEdita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123825</xdr:rowOff>
        </xdr:from>
        <xdr:to>
          <xdr:col>7</xdr:col>
          <xdr:colOff>657225</xdr:colOff>
          <xdr:row>2</xdr:row>
          <xdr:rowOff>85725</xdr:rowOff>
        </xdr:to>
        <xdr:sp macro="" textlink="">
          <xdr:nvSpPr>
            <xdr:cNvPr id="1034" name="btnLimpi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190500</xdr:rowOff>
        </xdr:from>
        <xdr:to>
          <xdr:col>3</xdr:col>
          <xdr:colOff>152400</xdr:colOff>
          <xdr:row>8</xdr:row>
          <xdr:rowOff>0</xdr:rowOff>
        </xdr:to>
        <xdr:sp macro="" textlink="">
          <xdr:nvSpPr>
            <xdr:cNvPr id="1041" name="lstMante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85725</xdr:rowOff>
        </xdr:from>
        <xdr:to>
          <xdr:col>2</xdr:col>
          <xdr:colOff>381000</xdr:colOff>
          <xdr:row>0</xdr:row>
          <xdr:rowOff>533400</xdr:rowOff>
        </xdr:to>
        <xdr:sp macro="" textlink="">
          <xdr:nvSpPr>
            <xdr:cNvPr id="5121" name="btnRegres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95250</xdr:rowOff>
        </xdr:from>
        <xdr:to>
          <xdr:col>6</xdr:col>
          <xdr:colOff>447675</xdr:colOff>
          <xdr:row>0</xdr:row>
          <xdr:rowOff>533400</xdr:rowOff>
        </xdr:to>
        <xdr:sp macro="" textlink="">
          <xdr:nvSpPr>
            <xdr:cNvPr id="5122" name="btnExportarCSV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amilia\Kyouru\Zona%20Trabajo\Excel%20Macro\Generador-Adendas-Aprobaciones\PLANTILLA%20ADENDA%20y%20APROBAC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INICIO"/>
      <sheetName val="HISTORICO"/>
      <sheetName val="HISTORICO_TEMP"/>
      <sheetName val="ADENDA"/>
      <sheetName val="APROB FUNCIONARIO"/>
      <sheetName val="APROB CONSEJO"/>
      <sheetName val="APROB COMITE"/>
    </sheetNames>
    <sheetDataSet>
      <sheetData sheetId="0" refreshError="1"/>
      <sheetData sheetId="1">
        <row r="18">
          <cell r="E18">
            <v>0</v>
          </cell>
        </row>
      </sheetData>
      <sheetData sheetId="2" refreshError="1"/>
      <sheetData sheetId="3" refreshError="1"/>
      <sheetData sheetId="4" refreshError="1"/>
      <sheetData sheetId="5">
        <row r="6">
          <cell r="H6" t="str">
            <v/>
          </cell>
        </row>
      </sheetData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F7DCD-00BD-4F2B-9BD7-F9A8A3C14F82}">
  <sheetPr codeName="Hoja8"/>
  <dimension ref="C3:L3"/>
  <sheetViews>
    <sheetView showGridLines="0" tabSelected="1" workbookViewId="0">
      <selection activeCell="F6" sqref="F6"/>
    </sheetView>
  </sheetViews>
  <sheetFormatPr baseColWidth="10" defaultRowHeight="15" x14ac:dyDescent="0.25"/>
  <cols>
    <col min="1" max="11" width="11.42578125" style="5"/>
    <col min="12" max="12" width="11.42578125" style="18"/>
    <col min="13" max="16384" width="11.42578125" style="5"/>
  </cols>
  <sheetData>
    <row r="3" spans="3:3" ht="23.25" x14ac:dyDescent="0.35">
      <c r="C3" s="17" t="s">
        <v>45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10B27-4E15-4536-B0E6-4D540B33D135}">
  <sheetPr codeName="Hoja1"/>
  <dimension ref="A1:G25"/>
  <sheetViews>
    <sheetView showGridLines="0" workbookViewId="0"/>
  </sheetViews>
  <sheetFormatPr baseColWidth="10" defaultRowHeight="15" x14ac:dyDescent="0.25"/>
  <cols>
    <col min="1" max="1" width="10.85546875" customWidth="1"/>
    <col min="2" max="2" width="22.7109375" customWidth="1"/>
    <col min="3" max="3" width="14.140625" customWidth="1"/>
    <col min="5" max="5" width="23.42578125" customWidth="1"/>
    <col min="6" max="6" width="11.42578125" customWidth="1"/>
    <col min="7" max="7" width="11.42578125" style="3" customWidth="1"/>
    <col min="8" max="8" width="22.42578125" customWidth="1"/>
  </cols>
  <sheetData>
    <row r="1" spans="1:7" s="5" customFormat="1" x14ac:dyDescent="0.25">
      <c r="A1" s="5" t="s">
        <v>66</v>
      </c>
    </row>
    <row r="3" spans="1:7" x14ac:dyDescent="0.25">
      <c r="B3" s="25" t="s">
        <v>47</v>
      </c>
      <c r="C3" s="26">
        <v>2021</v>
      </c>
      <c r="G3" s="7"/>
    </row>
    <row r="4" spans="1:7" x14ac:dyDescent="0.25">
      <c r="B4" s="25" t="s">
        <v>48</v>
      </c>
      <c r="C4" s="26">
        <v>1822833</v>
      </c>
    </row>
    <row r="5" spans="1:7" s="1" customFormat="1" x14ac:dyDescent="0.25">
      <c r="G5" s="3"/>
    </row>
    <row r="6" spans="1:7" s="5" customFormat="1" x14ac:dyDescent="0.25"/>
    <row r="7" spans="1:7" s="5" customFormat="1" x14ac:dyDescent="0.25"/>
    <row r="8" spans="1:7" s="5" customFormat="1" x14ac:dyDescent="0.25">
      <c r="B8" s="19" t="s">
        <v>43</v>
      </c>
    </row>
    <row r="9" spans="1:7" s="5" customFormat="1" x14ac:dyDescent="0.25"/>
    <row r="10" spans="1:7" s="5" customFormat="1" x14ac:dyDescent="0.25"/>
    <row r="11" spans="1:7" s="5" customFormat="1" x14ac:dyDescent="0.25"/>
    <row r="12" spans="1:7" s="5" customFormat="1" ht="18.75" x14ac:dyDescent="0.3">
      <c r="B12" s="29" t="s">
        <v>49</v>
      </c>
      <c r="C12" s="30"/>
    </row>
    <row r="13" spans="1:7" x14ac:dyDescent="0.25">
      <c r="B13" s="19" t="s">
        <v>0</v>
      </c>
      <c r="C13" s="20">
        <v>44313</v>
      </c>
    </row>
    <row r="14" spans="1:7" x14ac:dyDescent="0.25">
      <c r="B14" s="19" t="s">
        <v>25</v>
      </c>
      <c r="C14" s="21">
        <v>27</v>
      </c>
      <c r="E14" s="19" t="s">
        <v>25</v>
      </c>
      <c r="F14" s="31">
        <v>27</v>
      </c>
    </row>
    <row r="15" spans="1:7" x14ac:dyDescent="0.25">
      <c r="B15" s="19" t="s">
        <v>23</v>
      </c>
      <c r="C15" s="22">
        <v>16375</v>
      </c>
      <c r="E15" s="19" t="s">
        <v>57</v>
      </c>
      <c r="F15" s="32">
        <v>0</v>
      </c>
    </row>
    <row r="16" spans="1:7" s="3" customFormat="1" x14ac:dyDescent="0.25">
      <c r="B16" s="19" t="s">
        <v>36</v>
      </c>
      <c r="C16" s="22">
        <v>10916.14</v>
      </c>
    </row>
    <row r="17" spans="2:6" x14ac:dyDescent="0.25">
      <c r="B17" s="19" t="s">
        <v>24</v>
      </c>
      <c r="C17" s="22">
        <v>593.96</v>
      </c>
      <c r="E17" s="19" t="s">
        <v>24</v>
      </c>
      <c r="F17" s="33">
        <v>593.96</v>
      </c>
    </row>
    <row r="18" spans="2:6" s="5" customFormat="1" x14ac:dyDescent="0.25">
      <c r="B18" s="19" t="s">
        <v>51</v>
      </c>
      <c r="C18" s="28">
        <v>14</v>
      </c>
      <c r="E18" s="19" t="s">
        <v>64</v>
      </c>
      <c r="F18" s="32">
        <v>1</v>
      </c>
    </row>
    <row r="19" spans="2:6" x14ac:dyDescent="0.25">
      <c r="B19" s="19" t="s">
        <v>60</v>
      </c>
      <c r="C19" s="21">
        <v>22</v>
      </c>
      <c r="E19" s="19" t="s">
        <v>60</v>
      </c>
      <c r="F19" s="32">
        <v>22</v>
      </c>
    </row>
    <row r="20" spans="2:6" x14ac:dyDescent="0.25">
      <c r="B20" s="19" t="s">
        <v>50</v>
      </c>
      <c r="C20" s="21">
        <v>1.316961</v>
      </c>
      <c r="D20" s="9"/>
      <c r="E20" s="5"/>
      <c r="F20" s="5"/>
    </row>
    <row r="21" spans="2:6" s="5" customFormat="1" x14ac:dyDescent="0.25">
      <c r="B21" s="19" t="s">
        <v>65</v>
      </c>
      <c r="C21" s="23">
        <v>0.17</v>
      </c>
      <c r="D21" s="9"/>
    </row>
    <row r="22" spans="2:6" x14ac:dyDescent="0.25">
      <c r="B22" s="19" t="s">
        <v>37</v>
      </c>
      <c r="C22" s="24">
        <v>0</v>
      </c>
      <c r="E22" s="19" t="s">
        <v>37</v>
      </c>
      <c r="F22" s="34">
        <v>0</v>
      </c>
    </row>
    <row r="23" spans="2:6" x14ac:dyDescent="0.25">
      <c r="B23" s="19" t="s">
        <v>38</v>
      </c>
      <c r="C23" s="24">
        <v>7.9</v>
      </c>
      <c r="E23" s="19" t="s">
        <v>38</v>
      </c>
      <c r="F23" s="34">
        <v>7.9</v>
      </c>
    </row>
    <row r="24" spans="2:6" x14ac:dyDescent="0.25">
      <c r="B24" s="19" t="s">
        <v>54</v>
      </c>
      <c r="C24" s="24">
        <v>0</v>
      </c>
      <c r="E24" s="19" t="s">
        <v>54</v>
      </c>
      <c r="F24" s="34">
        <v>0</v>
      </c>
    </row>
    <row r="25" spans="2:6" x14ac:dyDescent="0.25">
      <c r="B25" s="19" t="s">
        <v>39</v>
      </c>
      <c r="C25" s="24">
        <v>10</v>
      </c>
      <c r="E25" s="19" t="s">
        <v>39</v>
      </c>
      <c r="F25" s="34">
        <v>10</v>
      </c>
    </row>
  </sheetData>
  <sheetProtection algorithmName="SHA-512" hashValue="PLJVMgA2L9GEObztPn59fabittgsSdyz82dlrNwGnq0oXmCLKCCYC31uPkTknMwFpUKMVViCcDidiI844Yqw5A==" saltValue="0H+02LRni4qwQDh4aAywsA==" spinCount="100000" sheet="1" objects="1" scenarios="1"/>
  <mergeCells count="1">
    <mergeCell ref="B12:C12"/>
  </mergeCells>
  <conditionalFormatting sqref="F14">
    <cfRule type="expression" dxfId="10" priority="11">
      <formula>AND($F$14&lt;&gt;$C$14)</formula>
    </cfRule>
  </conditionalFormatting>
  <conditionalFormatting sqref="F15">
    <cfRule type="expression" dxfId="9" priority="10">
      <formula>AND($F$15&lt;&gt;0)</formula>
    </cfRule>
  </conditionalFormatting>
  <conditionalFormatting sqref="F18">
    <cfRule type="expression" dxfId="8" priority="8">
      <formula>AND($F$18&lt;&gt;1)</formula>
    </cfRule>
  </conditionalFormatting>
  <conditionalFormatting sqref="F22">
    <cfRule type="expression" dxfId="7" priority="6">
      <formula>AND($C$22&lt;&gt;$F$22)</formula>
    </cfRule>
  </conditionalFormatting>
  <conditionalFormatting sqref="F23">
    <cfRule type="expression" dxfId="6" priority="5">
      <formula>AND($C$23&lt;&gt;$F$23)</formula>
    </cfRule>
  </conditionalFormatting>
  <conditionalFormatting sqref="F24">
    <cfRule type="expression" dxfId="5" priority="4">
      <formula>AND($C$24&lt;&gt;$F$24)</formula>
    </cfRule>
  </conditionalFormatting>
  <conditionalFormatting sqref="F25">
    <cfRule type="expression" dxfId="4" priority="3">
      <formula>AND($C$25&lt;&gt;$F$25)</formula>
    </cfRule>
  </conditionalFormatting>
  <conditionalFormatting sqref="F17">
    <cfRule type="expression" dxfId="3" priority="13">
      <formula>AND($C$17&lt;&gt;$F$17)</formula>
    </cfRule>
  </conditionalFormatting>
  <conditionalFormatting sqref="F19">
    <cfRule type="expression" dxfId="2" priority="15">
      <formula>AND($C$19&lt;&gt;$F$19)</formula>
    </cfRule>
  </conditionalFormatting>
  <dataValidations count="6">
    <dataValidation type="whole" allowBlank="1" showInputMessage="1" showErrorMessage="1" sqref="F14" xr:uid="{264E504E-8453-4CE9-A1ED-654B3D6119EA}">
      <formula1>1</formula1>
      <formula2>31</formula2>
    </dataValidation>
    <dataValidation type="whole" operator="greaterThanOrEqual" allowBlank="1" showInputMessage="1" showErrorMessage="1" sqref="F15 F19" xr:uid="{FD1A15A0-219D-49B4-A98C-9EE4989713D0}">
      <formula1>0</formula1>
    </dataValidation>
    <dataValidation type="decimal" operator="greaterThanOrEqual" allowBlank="1" showInputMessage="1" showErrorMessage="1" sqref="F17 F22 F23 F24 F25" xr:uid="{C238A115-0CDD-40B0-848B-C9784C34805D}">
      <formula1>0</formula1>
    </dataValidation>
    <dataValidation type="whole" operator="greaterThanOrEqual" allowBlank="1" showInputMessage="1" showErrorMessage="1" sqref="F18" xr:uid="{D7F00B55-76B2-4051-9C16-1E02B0FCB0B8}">
      <formula1>1</formula1>
    </dataValidation>
    <dataValidation type="whole" allowBlank="1" showInputMessage="1" showErrorMessage="1" sqref="C3" xr:uid="{868EE70A-D7D9-4206-9C2A-4E0BAB873E6E}">
      <formula1>1900</formula1>
      <formula2>2100</formula2>
    </dataValidation>
    <dataValidation type="whole" allowBlank="1" showInputMessage="1" showErrorMessage="1" sqref="C4" xr:uid="{38EDAC2F-FFC4-434E-9AE3-55BD65E62A4B}">
      <formula1>99999</formula1>
      <formula2>9999999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Buscar">
              <controlPr defaultSize="0" print="0" autoFill="0" autoPict="0" macro="[0]!BuscarPrestamo">
                <anchor moveWithCells="1" sizeWithCells="1">
                  <from>
                    <xdr:col>1</xdr:col>
                    <xdr:colOff>581025</xdr:colOff>
                    <xdr:row>4</xdr:row>
                    <xdr:rowOff>114300</xdr:rowOff>
                  </from>
                  <to>
                    <xdr:col>2</xdr:col>
                    <xdr:colOff>352425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Generar">
              <controlPr defaultSize="0" print="0" autoFill="0" autoPict="0" macro="[0]!GenerarCronograma">
                <anchor moveWithCells="1" sizeWithCells="1">
                  <from>
                    <xdr:col>1</xdr:col>
                    <xdr:colOff>571500</xdr:colOff>
                    <xdr:row>8</xdr:row>
                    <xdr:rowOff>104775</xdr:rowOff>
                  </from>
                  <to>
                    <xdr:col>2</xdr:col>
                    <xdr:colOff>342900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Editar">
              <controlPr defaultSize="0" print="0" autoFill="0" autoPict="0" macro="[0]!btnEditarPrestamo">
                <anchor moveWithCells="1" sizeWithCells="1">
                  <from>
                    <xdr:col>3</xdr:col>
                    <xdr:colOff>114300</xdr:colOff>
                    <xdr:row>15</xdr:row>
                    <xdr:rowOff>76200</xdr:rowOff>
                  </from>
                  <to>
                    <xdr:col>3</xdr:col>
                    <xdr:colOff>590550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tnLimpiar">
              <controlPr defaultSize="0" print="0" autoFill="0" autoPict="0" macro="[0]!btnLimpiar">
                <anchor moveWithCells="1" sizeWithCells="1">
                  <from>
                    <xdr:col>7</xdr:col>
                    <xdr:colOff>85725</xdr:colOff>
                    <xdr:row>0</xdr:row>
                    <xdr:rowOff>123825</xdr:rowOff>
                  </from>
                  <to>
                    <xdr:col>7</xdr:col>
                    <xdr:colOff>657225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lstMantener">
              <controlPr locked="0" defaultSize="0" autoLine="0" autoPict="0" macro="[0]!lstMantener_Cambiar">
                <anchor moveWithCells="1">
                  <from>
                    <xdr:col>2</xdr:col>
                    <xdr:colOff>28575</xdr:colOff>
                    <xdr:row>6</xdr:row>
                    <xdr:rowOff>190500</xdr:rowOff>
                  </from>
                  <to>
                    <xdr:col>3</xdr:col>
                    <xdr:colOff>152400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100-000001000000}">
            <xm:f>AND(Datos!$B$5=2)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4" id="{00000000-000E-0000-0100-000002000000}">
            <xm:f>AND(Datos!$B$5=1)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F19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3662F-8326-4BB9-85E8-C37FF095EC58}">
  <sheetPr codeName="Hoja5"/>
  <dimension ref="B1:S407"/>
  <sheetViews>
    <sheetView workbookViewId="0"/>
  </sheetViews>
  <sheetFormatPr baseColWidth="10" defaultRowHeight="15" x14ac:dyDescent="0.25"/>
  <cols>
    <col min="3" max="3" width="11.42578125" style="7"/>
    <col min="4" max="4" width="11.42578125" style="8"/>
    <col min="5" max="5" width="19.28515625" style="4" customWidth="1"/>
    <col min="6" max="6" width="17" style="4" customWidth="1"/>
    <col min="7" max="7" width="19.7109375" style="4" customWidth="1"/>
    <col min="8" max="10" width="11.42578125" style="4"/>
    <col min="11" max="11" width="15.42578125" style="4" customWidth="1"/>
    <col min="12" max="12" width="11.42578125" style="4"/>
    <col min="13" max="13" width="16" style="4" customWidth="1"/>
    <col min="14" max="15" width="11.42578125" style="4" hidden="1" customWidth="1"/>
    <col min="16" max="19" width="11.42578125" hidden="1" customWidth="1"/>
    <col min="20" max="23" width="11.42578125" customWidth="1"/>
  </cols>
  <sheetData>
    <row r="1" spans="2:18" s="5" customFormat="1" ht="49.5" customHeight="1" x14ac:dyDescent="0.25">
      <c r="C1" s="7"/>
      <c r="D1" s="8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2:18" x14ac:dyDescent="0.25">
      <c r="D2" s="12"/>
      <c r="P2">
        <v>30</v>
      </c>
      <c r="Q2">
        <v>60</v>
      </c>
      <c r="R2" s="5"/>
    </row>
    <row r="3" spans="2:18" x14ac:dyDescent="0.25">
      <c r="B3" s="13" t="s">
        <v>40</v>
      </c>
      <c r="C3" s="14" t="s">
        <v>26</v>
      </c>
      <c r="D3" s="15" t="s">
        <v>27</v>
      </c>
      <c r="E3" s="16" t="s">
        <v>28</v>
      </c>
      <c r="F3" s="16" t="s">
        <v>29</v>
      </c>
      <c r="G3" s="16" t="s">
        <v>30</v>
      </c>
      <c r="H3" s="16" t="s">
        <v>31</v>
      </c>
      <c r="I3" s="16" t="s">
        <v>32</v>
      </c>
      <c r="J3" s="16" t="s">
        <v>33</v>
      </c>
      <c r="K3" s="16" t="s">
        <v>55</v>
      </c>
      <c r="L3" s="16" t="s">
        <v>34</v>
      </c>
      <c r="M3" s="16" t="s">
        <v>35</v>
      </c>
      <c r="N3" s="4" t="s">
        <v>42</v>
      </c>
      <c r="O3" s="4" t="s">
        <v>41</v>
      </c>
      <c r="R3" s="5"/>
    </row>
    <row r="4" spans="2:18" hidden="1" x14ac:dyDescent="0.25">
      <c r="B4" s="5"/>
      <c r="N4" s="4">
        <v>0</v>
      </c>
      <c r="P4" s="5"/>
      <c r="Q4" s="5"/>
      <c r="R4" s="5"/>
    </row>
    <row r="5" spans="2:18" x14ac:dyDescent="0.25">
      <c r="B5">
        <f>Cuotas_Pagadas+1</f>
        <v>15</v>
      </c>
      <c r="C5" s="2">
        <f>DATE(IF(ProximoMes&gt;12,YEAR(FechaUltimoPago)+1,YEAR(FechaUltimoPago)),IF(ProximoMes&gt;12,ProximoMes-12,ProximoMes),Dia_de_Pago2)</f>
        <v>44769</v>
      </c>
      <c r="D5" s="11">
        <f>C5-FechaUltimoPago</f>
        <v>30</v>
      </c>
      <c r="E5" s="4">
        <f>Saldo</f>
        <v>10916.14</v>
      </c>
      <c r="F5" s="4">
        <f>Monto_Cuota2*VALUE(MID(MultiploCuota,MONTH(Cronograma!C5),1))-IF(F6="",Ajuste,0)</f>
        <v>593.96</v>
      </c>
      <c r="G5" s="4">
        <f>IF(I5+J5+K5+L5+H5&lt;=F5,F5-I5-J5-K5-L5-H5,0)</f>
        <v>432.36000000000007</v>
      </c>
      <c r="H5" s="4">
        <f>IF(O5+N4&lt;F5-I5-J5-K5-L5,O5+N4,IF(F5&lt;=I5+J5+K5+L5,0,F5-I5-J5-K5-L5))</f>
        <v>143.69999999999999</v>
      </c>
      <c r="I5" s="4">
        <f>Desgravamen2</f>
        <v>0</v>
      </c>
      <c r="J5" s="4">
        <f>Seguro_Bien2</f>
        <v>7.9</v>
      </c>
      <c r="K5" s="4">
        <f>Servicio_Adicional2</f>
        <v>0</v>
      </c>
      <c r="L5" s="4">
        <f>Aporte2</f>
        <v>10</v>
      </c>
      <c r="M5" s="4">
        <f>E5-G5</f>
        <v>10483.779999999999</v>
      </c>
      <c r="N5" s="4">
        <f>N4+O5-H5</f>
        <v>0</v>
      </c>
      <c r="O5" s="4">
        <f>SUM(P5:AC5)</f>
        <v>143.69999999999999</v>
      </c>
      <c r="P5" s="5">
        <f>IF($D5&gt;P$2,30,$D5)*ROUND(($E5+$N4)*T.E.M./3000,2)</f>
        <v>143.69999999999999</v>
      </c>
      <c r="Q5" s="10">
        <f>IF($D5&gt;P$2,IF($D5&lt;Q$2,$D5-P$2,30),0)*ROUND(($E5+$N4+SUM($P5:P5))*T.E.M./3000,2)</f>
        <v>0</v>
      </c>
      <c r="R5" s="5"/>
    </row>
    <row r="6" spans="2:18" s="5" customFormat="1" x14ac:dyDescent="0.25">
      <c r="B6" s="5">
        <f>B5+1</f>
        <v>16</v>
      </c>
      <c r="C6" s="7">
        <f>DATE(YEAR(C5),MONTH(C5)+SaltoCuota,Dia_de_Pago2)</f>
        <v>44800</v>
      </c>
      <c r="D6" s="8">
        <f>C6-C5</f>
        <v>31</v>
      </c>
      <c r="E6" s="4">
        <f>M5</f>
        <v>10483.779999999999</v>
      </c>
      <c r="F6" s="4">
        <f>Monto_Cuota2*VALUE(MID(MultiploCuota,MONTH(Cronograma!C6),1))-IF(F7="",Ajuste,0)</f>
        <v>593.96</v>
      </c>
      <c r="G6" s="4">
        <f>IF(I6+J6+K6+L6+H6&lt;=F6,F6-I6-J6-K6-L6-H6,0)</f>
        <v>433.40000000000009</v>
      </c>
      <c r="H6" s="4">
        <f>IF(O6+N5&lt;F6-I6-J6-K6-L6,O6+N5,IF(F6&lt;=I6+J6+K6+L6,0,F6-I6-J6-K6-L6))</f>
        <v>142.66</v>
      </c>
      <c r="I6" s="4">
        <f>Desgravamen2</f>
        <v>0</v>
      </c>
      <c r="J6" s="4">
        <f>Seguro_Bien2</f>
        <v>7.9</v>
      </c>
      <c r="K6" s="4">
        <f>Servicio_Adicional2</f>
        <v>0</v>
      </c>
      <c r="L6" s="4">
        <f>Aporte2</f>
        <v>10</v>
      </c>
      <c r="M6" s="4">
        <f>E6-G6</f>
        <v>10050.379999999999</v>
      </c>
      <c r="N6" s="4">
        <f>N5+O6-H6</f>
        <v>0</v>
      </c>
      <c r="O6" s="4">
        <f>SUM(P6:AC6)</f>
        <v>142.66</v>
      </c>
      <c r="P6" s="5">
        <f>IF($D6&gt;P$2,30,$D6)*ROUND(($E6+$N5)*T.E.M./3000,2)</f>
        <v>138</v>
      </c>
      <c r="Q6" s="10">
        <f>IF($D6&gt;P$2,IF($D6&lt;Q$2,$D6-P$2,30),0)*ROUND(($E6+$N5+SUM($P6:P6))*T.E.M./3000,2)</f>
        <v>4.66</v>
      </c>
    </row>
    <row r="7" spans="2:18" s="5" customFormat="1" x14ac:dyDescent="0.25">
      <c r="C7" s="7"/>
      <c r="D7" s="8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Q7" s="10"/>
    </row>
    <row r="8" spans="2:18" s="5" customFormat="1" x14ac:dyDescent="0.25">
      <c r="C8" s="7"/>
      <c r="D8" s="8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Q8" s="10"/>
    </row>
    <row r="9" spans="2:18" s="5" customFormat="1" x14ac:dyDescent="0.25">
      <c r="C9" s="7"/>
      <c r="D9" s="8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Q9" s="10"/>
    </row>
    <row r="10" spans="2:18" s="5" customFormat="1" x14ac:dyDescent="0.25">
      <c r="C10" s="7"/>
      <c r="D10" s="8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Q10" s="10"/>
    </row>
    <row r="11" spans="2:18" s="5" customFormat="1" x14ac:dyDescent="0.25">
      <c r="C11" s="7"/>
      <c r="D11" s="8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Q11" s="10"/>
    </row>
    <row r="12" spans="2:18" s="5" customFormat="1" x14ac:dyDescent="0.25">
      <c r="C12" s="7"/>
      <c r="D12" s="8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Q12" s="10"/>
    </row>
    <row r="13" spans="2:18" s="5" customFormat="1" x14ac:dyDescent="0.25">
      <c r="C13" s="7"/>
      <c r="D13" s="8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Q13" s="10"/>
    </row>
    <row r="14" spans="2:18" s="5" customFormat="1" x14ac:dyDescent="0.25">
      <c r="C14" s="7"/>
      <c r="D14" s="8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Q14" s="10"/>
    </row>
    <row r="15" spans="2:18" s="5" customFormat="1" x14ac:dyDescent="0.25">
      <c r="C15" s="7"/>
      <c r="D15" s="8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Q15" s="10"/>
    </row>
    <row r="16" spans="2:18" s="5" customFormat="1" x14ac:dyDescent="0.25">
      <c r="C16" s="7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Q16" s="10"/>
    </row>
    <row r="17" spans="3:17" s="5" customFormat="1" x14ac:dyDescent="0.25">
      <c r="C17" s="7"/>
      <c r="D17" s="8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Q17" s="10"/>
    </row>
    <row r="18" spans="3:17" s="5" customFormat="1" x14ac:dyDescent="0.25">
      <c r="C18" s="7"/>
      <c r="D18" s="8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Q18" s="10"/>
    </row>
    <row r="19" spans="3:17" s="5" customFormat="1" x14ac:dyDescent="0.25">
      <c r="C19" s="7"/>
      <c r="D19" s="8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Q19" s="10"/>
    </row>
    <row r="20" spans="3:17" s="5" customFormat="1" x14ac:dyDescent="0.25">
      <c r="C20" s="7"/>
      <c r="D20" s="8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Q20" s="10"/>
    </row>
    <row r="21" spans="3:17" s="5" customFormat="1" x14ac:dyDescent="0.25">
      <c r="C21" s="7"/>
      <c r="D21" s="8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Q21" s="10"/>
    </row>
    <row r="22" spans="3:17" s="5" customFormat="1" x14ac:dyDescent="0.25">
      <c r="C22" s="7"/>
      <c r="D22" s="8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Q22" s="10"/>
    </row>
    <row r="23" spans="3:17" s="5" customFormat="1" x14ac:dyDescent="0.25">
      <c r="C23" s="7"/>
      <c r="D23" s="8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Q23" s="10"/>
    </row>
    <row r="24" spans="3:17" s="5" customFormat="1" x14ac:dyDescent="0.25">
      <c r="C24" s="7"/>
      <c r="D24" s="8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Q24" s="10"/>
    </row>
    <row r="25" spans="3:17" s="5" customFormat="1" x14ac:dyDescent="0.25">
      <c r="C25" s="7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Q25" s="10"/>
    </row>
    <row r="26" spans="3:17" s="5" customFormat="1" x14ac:dyDescent="0.25">
      <c r="C26" s="7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Q26" s="10"/>
    </row>
    <row r="27" spans="3:17" s="5" customFormat="1" x14ac:dyDescent="0.25">
      <c r="C27" s="7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Q27" s="10"/>
    </row>
    <row r="28" spans="3:17" s="5" customFormat="1" x14ac:dyDescent="0.25">
      <c r="C28" s="7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Q28" s="10"/>
    </row>
    <row r="29" spans="3:17" s="5" customFormat="1" x14ac:dyDescent="0.25">
      <c r="C29" s="7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Q29" s="10"/>
    </row>
    <row r="30" spans="3:17" s="5" customFormat="1" x14ac:dyDescent="0.25">
      <c r="C30" s="7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Q30" s="10"/>
    </row>
    <row r="31" spans="3:17" s="5" customFormat="1" x14ac:dyDescent="0.25">
      <c r="C31" s="7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Q31" s="10"/>
    </row>
    <row r="32" spans="3:17" s="5" customFormat="1" x14ac:dyDescent="0.25">
      <c r="C32" s="7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Q32" s="10"/>
    </row>
    <row r="33" spans="3:17" s="5" customFormat="1" x14ac:dyDescent="0.25">
      <c r="C33" s="7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Q33" s="10"/>
    </row>
    <row r="34" spans="3:17" s="5" customFormat="1" x14ac:dyDescent="0.25">
      <c r="C34" s="7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Q34" s="10"/>
    </row>
    <row r="35" spans="3:17" s="5" customFormat="1" x14ac:dyDescent="0.25">
      <c r="C35" s="7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Q35" s="10"/>
    </row>
    <row r="36" spans="3:17" s="5" customFormat="1" x14ac:dyDescent="0.25">
      <c r="C36" s="7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Q36" s="10"/>
    </row>
    <row r="37" spans="3:17" s="5" customFormat="1" x14ac:dyDescent="0.25">
      <c r="C37" s="7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Q37" s="10"/>
    </row>
    <row r="38" spans="3:17" s="5" customFormat="1" x14ac:dyDescent="0.25">
      <c r="C38" s="7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Q38" s="10"/>
    </row>
    <row r="39" spans="3:17" s="5" customFormat="1" x14ac:dyDescent="0.25">
      <c r="C39" s="7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Q39" s="10"/>
    </row>
    <row r="40" spans="3:17" s="5" customFormat="1" x14ac:dyDescent="0.25">
      <c r="C40" s="7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Q40" s="10"/>
    </row>
    <row r="41" spans="3:17" s="5" customFormat="1" x14ac:dyDescent="0.25">
      <c r="C41" s="7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Q41" s="10"/>
    </row>
    <row r="42" spans="3:17" s="5" customFormat="1" x14ac:dyDescent="0.25">
      <c r="C42" s="7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Q42" s="10"/>
    </row>
    <row r="43" spans="3:17" s="5" customFormat="1" x14ac:dyDescent="0.25">
      <c r="C43" s="7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Q43" s="10"/>
    </row>
    <row r="44" spans="3:17" s="5" customFormat="1" x14ac:dyDescent="0.25">
      <c r="C44" s="7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Q44" s="10"/>
    </row>
    <row r="45" spans="3:17" s="5" customFormat="1" x14ac:dyDescent="0.25">
      <c r="C45" s="7"/>
      <c r="D45" s="8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Q45" s="10"/>
    </row>
    <row r="46" spans="3:17" s="5" customFormat="1" x14ac:dyDescent="0.25">
      <c r="C46" s="7"/>
      <c r="D46" s="8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Q46" s="10"/>
    </row>
    <row r="47" spans="3:17" s="5" customFormat="1" x14ac:dyDescent="0.25">
      <c r="C47" s="7"/>
      <c r="D47" s="8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Q47" s="10"/>
    </row>
    <row r="48" spans="3:17" s="5" customFormat="1" x14ac:dyDescent="0.25">
      <c r="C48" s="7"/>
      <c r="D48" s="8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Q48" s="10"/>
    </row>
    <row r="49" spans="3:17" s="5" customFormat="1" x14ac:dyDescent="0.25">
      <c r="C49" s="7"/>
      <c r="D49" s="8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Q49" s="10"/>
    </row>
    <row r="50" spans="3:17" s="5" customFormat="1" x14ac:dyDescent="0.25">
      <c r="C50" s="7"/>
      <c r="D50" s="8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Q50" s="10"/>
    </row>
    <row r="51" spans="3:17" s="5" customFormat="1" x14ac:dyDescent="0.25">
      <c r="C51" s="7"/>
      <c r="D51" s="8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Q51" s="10"/>
    </row>
    <row r="52" spans="3:17" s="5" customFormat="1" x14ac:dyDescent="0.25">
      <c r="C52" s="7"/>
      <c r="D52" s="8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Q52" s="10"/>
    </row>
    <row r="53" spans="3:17" s="5" customFormat="1" x14ac:dyDescent="0.25">
      <c r="C53" s="7"/>
      <c r="D53" s="8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Q53" s="10"/>
    </row>
    <row r="54" spans="3:17" s="5" customFormat="1" x14ac:dyDescent="0.25">
      <c r="C54" s="7"/>
      <c r="D54" s="8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Q54" s="10"/>
    </row>
    <row r="55" spans="3:17" s="5" customFormat="1" x14ac:dyDescent="0.25">
      <c r="C55" s="7"/>
      <c r="D55" s="8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Q55" s="10"/>
    </row>
    <row r="56" spans="3:17" s="5" customFormat="1" x14ac:dyDescent="0.25">
      <c r="C56" s="7"/>
      <c r="D56" s="8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Q56" s="10"/>
    </row>
    <row r="57" spans="3:17" s="5" customFormat="1" x14ac:dyDescent="0.25">
      <c r="C57" s="7"/>
      <c r="D57" s="8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Q57" s="10"/>
    </row>
    <row r="58" spans="3:17" s="5" customFormat="1" x14ac:dyDescent="0.25">
      <c r="C58" s="7"/>
      <c r="D58" s="8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Q58" s="10"/>
    </row>
    <row r="59" spans="3:17" s="5" customFormat="1" x14ac:dyDescent="0.25">
      <c r="C59" s="7"/>
      <c r="D59" s="8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Q59" s="10"/>
    </row>
    <row r="60" spans="3:17" s="5" customFormat="1" x14ac:dyDescent="0.25">
      <c r="C60" s="7"/>
      <c r="D60" s="8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Q60" s="10"/>
    </row>
    <row r="61" spans="3:17" s="5" customFormat="1" x14ac:dyDescent="0.25">
      <c r="C61" s="7"/>
      <c r="D61" s="8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Q61" s="10"/>
    </row>
    <row r="62" spans="3:17" s="5" customFormat="1" x14ac:dyDescent="0.25">
      <c r="C62" s="7"/>
      <c r="D62" s="8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Q62" s="10"/>
    </row>
    <row r="63" spans="3:17" s="5" customFormat="1" x14ac:dyDescent="0.25">
      <c r="C63" s="7"/>
      <c r="D63" s="8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Q63" s="10"/>
    </row>
    <row r="64" spans="3:17" s="5" customFormat="1" x14ac:dyDescent="0.25">
      <c r="C64" s="7"/>
      <c r="D64" s="8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Q64" s="10"/>
    </row>
    <row r="65" spans="3:17" s="5" customFormat="1" x14ac:dyDescent="0.25">
      <c r="C65" s="7"/>
      <c r="D65" s="8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Q65" s="10"/>
    </row>
    <row r="66" spans="3:17" s="5" customFormat="1" x14ac:dyDescent="0.25">
      <c r="C66" s="7"/>
      <c r="D66" s="8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Q66" s="10"/>
    </row>
    <row r="67" spans="3:17" s="5" customFormat="1" x14ac:dyDescent="0.25">
      <c r="C67" s="7"/>
      <c r="D67" s="8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Q67" s="10"/>
    </row>
    <row r="68" spans="3:17" s="5" customFormat="1" x14ac:dyDescent="0.25">
      <c r="C68" s="7"/>
      <c r="D68" s="8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Q68" s="10"/>
    </row>
    <row r="69" spans="3:17" s="5" customFormat="1" x14ac:dyDescent="0.25">
      <c r="C69" s="7"/>
      <c r="D69" s="8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Q69" s="10"/>
    </row>
    <row r="70" spans="3:17" s="5" customFormat="1" x14ac:dyDescent="0.25">
      <c r="C70" s="7"/>
      <c r="D70" s="8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Q70" s="10"/>
    </row>
    <row r="71" spans="3:17" s="5" customFormat="1" x14ac:dyDescent="0.25">
      <c r="C71" s="7"/>
      <c r="D71" s="8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Q71" s="10"/>
    </row>
    <row r="72" spans="3:17" s="5" customFormat="1" x14ac:dyDescent="0.25">
      <c r="C72" s="7"/>
      <c r="D72" s="8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Q72" s="10"/>
    </row>
    <row r="73" spans="3:17" s="5" customFormat="1" x14ac:dyDescent="0.25">
      <c r="C73" s="7"/>
      <c r="D73" s="8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Q73" s="10"/>
    </row>
    <row r="74" spans="3:17" s="5" customFormat="1" x14ac:dyDescent="0.25">
      <c r="C74" s="7"/>
      <c r="D74" s="8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Q74" s="10"/>
    </row>
    <row r="75" spans="3:17" s="5" customFormat="1" x14ac:dyDescent="0.25">
      <c r="C75" s="7"/>
      <c r="D75" s="8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Q75" s="10"/>
    </row>
    <row r="76" spans="3:17" s="5" customFormat="1" x14ac:dyDescent="0.25">
      <c r="C76" s="7"/>
      <c r="D76" s="8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Q76" s="10"/>
    </row>
    <row r="77" spans="3:17" s="5" customFormat="1" x14ac:dyDescent="0.25">
      <c r="C77" s="7"/>
      <c r="D77" s="8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Q77" s="10"/>
    </row>
    <row r="78" spans="3:17" s="5" customFormat="1" x14ac:dyDescent="0.25">
      <c r="C78" s="7"/>
      <c r="D78" s="8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Q78" s="10"/>
    </row>
    <row r="79" spans="3:17" s="5" customFormat="1" x14ac:dyDescent="0.25">
      <c r="C79" s="7"/>
      <c r="D79" s="8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Q79" s="10"/>
    </row>
    <row r="80" spans="3:17" s="5" customFormat="1" x14ac:dyDescent="0.25">
      <c r="C80" s="7"/>
      <c r="D80" s="8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Q80" s="10"/>
    </row>
    <row r="81" spans="3:17" s="5" customFormat="1" x14ac:dyDescent="0.25">
      <c r="C81" s="7"/>
      <c r="D81" s="8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Q81" s="10"/>
    </row>
    <row r="82" spans="3:17" s="5" customFormat="1" x14ac:dyDescent="0.25">
      <c r="C82" s="7"/>
      <c r="D82" s="8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Q82" s="10"/>
    </row>
    <row r="83" spans="3:17" s="5" customFormat="1" x14ac:dyDescent="0.25">
      <c r="C83" s="7"/>
      <c r="D83" s="8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Q83" s="10"/>
    </row>
    <row r="84" spans="3:17" s="5" customFormat="1" x14ac:dyDescent="0.25">
      <c r="C84" s="7"/>
      <c r="D84" s="8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Q84" s="10"/>
    </row>
    <row r="85" spans="3:17" s="5" customFormat="1" x14ac:dyDescent="0.25">
      <c r="C85" s="7"/>
      <c r="D85" s="8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Q85" s="10"/>
    </row>
    <row r="86" spans="3:17" s="5" customFormat="1" x14ac:dyDescent="0.25">
      <c r="C86" s="7"/>
      <c r="D86" s="8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Q86" s="10"/>
    </row>
    <row r="87" spans="3:17" s="5" customFormat="1" x14ac:dyDescent="0.25">
      <c r="C87" s="7"/>
      <c r="D87" s="8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Q87" s="10"/>
    </row>
    <row r="88" spans="3:17" s="5" customFormat="1" x14ac:dyDescent="0.25">
      <c r="C88" s="7"/>
      <c r="D88" s="8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Q88" s="10"/>
    </row>
    <row r="89" spans="3:17" s="5" customFormat="1" x14ac:dyDescent="0.25">
      <c r="C89" s="7"/>
      <c r="D89" s="8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Q89" s="10"/>
    </row>
    <row r="90" spans="3:17" s="5" customFormat="1" x14ac:dyDescent="0.25">
      <c r="C90" s="7"/>
      <c r="D90" s="8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Q90" s="10"/>
    </row>
    <row r="91" spans="3:17" s="5" customFormat="1" x14ac:dyDescent="0.25">
      <c r="C91" s="7"/>
      <c r="D91" s="8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Q91" s="10"/>
    </row>
    <row r="92" spans="3:17" s="5" customFormat="1" x14ac:dyDescent="0.25">
      <c r="C92" s="7"/>
      <c r="D92" s="8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Q92" s="10"/>
    </row>
    <row r="93" spans="3:17" s="5" customFormat="1" x14ac:dyDescent="0.25">
      <c r="C93" s="7"/>
      <c r="D93" s="8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Q93" s="10"/>
    </row>
    <row r="94" spans="3:17" s="5" customFormat="1" x14ac:dyDescent="0.25">
      <c r="C94" s="7"/>
      <c r="D94" s="8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Q94" s="10"/>
    </row>
    <row r="95" spans="3:17" s="5" customFormat="1" x14ac:dyDescent="0.25">
      <c r="C95" s="7"/>
      <c r="D95" s="8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Q95" s="10"/>
    </row>
    <row r="96" spans="3:17" s="5" customFormat="1" x14ac:dyDescent="0.25">
      <c r="C96" s="7"/>
      <c r="D96" s="8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Q96" s="10"/>
    </row>
    <row r="97" spans="3:17" s="5" customFormat="1" x14ac:dyDescent="0.25">
      <c r="C97" s="7"/>
      <c r="D97" s="8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Q97" s="10"/>
    </row>
    <row r="98" spans="3:17" s="5" customFormat="1" x14ac:dyDescent="0.25">
      <c r="C98" s="7"/>
      <c r="D98" s="8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Q98" s="10"/>
    </row>
    <row r="99" spans="3:17" s="5" customFormat="1" x14ac:dyDescent="0.25">
      <c r="C99" s="7"/>
      <c r="D99" s="8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Q99" s="10"/>
    </row>
    <row r="100" spans="3:17" s="5" customFormat="1" x14ac:dyDescent="0.25">
      <c r="C100" s="7"/>
      <c r="D100" s="8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Q100" s="10"/>
    </row>
    <row r="101" spans="3:17" s="5" customFormat="1" x14ac:dyDescent="0.25">
      <c r="C101" s="7"/>
      <c r="D101" s="8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Q101" s="10"/>
    </row>
    <row r="102" spans="3:17" s="5" customFormat="1" x14ac:dyDescent="0.25">
      <c r="C102" s="7"/>
      <c r="D102" s="8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Q102" s="10"/>
    </row>
    <row r="103" spans="3:17" s="5" customFormat="1" x14ac:dyDescent="0.25">
      <c r="C103" s="7"/>
      <c r="D103" s="8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Q103" s="10"/>
    </row>
    <row r="104" spans="3:17" s="5" customFormat="1" x14ac:dyDescent="0.25">
      <c r="C104" s="7"/>
      <c r="D104" s="8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Q104" s="10"/>
    </row>
    <row r="105" spans="3:17" s="5" customFormat="1" x14ac:dyDescent="0.25">
      <c r="C105" s="7"/>
      <c r="D105" s="8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Q105" s="10"/>
    </row>
    <row r="106" spans="3:17" s="5" customFormat="1" x14ac:dyDescent="0.25">
      <c r="C106" s="7"/>
      <c r="D106" s="8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Q106" s="10"/>
    </row>
    <row r="107" spans="3:17" s="5" customFormat="1" x14ac:dyDescent="0.25">
      <c r="C107" s="7"/>
      <c r="D107" s="8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Q107" s="10"/>
    </row>
    <row r="108" spans="3:17" s="5" customFormat="1" x14ac:dyDescent="0.25">
      <c r="C108" s="7"/>
      <c r="D108" s="8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Q108" s="10"/>
    </row>
    <row r="109" spans="3:17" s="5" customFormat="1" x14ac:dyDescent="0.25">
      <c r="C109" s="7"/>
      <c r="D109" s="8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Q109" s="10"/>
    </row>
    <row r="110" spans="3:17" s="5" customFormat="1" x14ac:dyDescent="0.25">
      <c r="C110" s="7"/>
      <c r="D110" s="8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Q110" s="10"/>
    </row>
    <row r="111" spans="3:17" s="5" customFormat="1" x14ac:dyDescent="0.25">
      <c r="C111" s="7"/>
      <c r="D111" s="8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Q111" s="10"/>
    </row>
    <row r="112" spans="3:17" s="5" customFormat="1" x14ac:dyDescent="0.25">
      <c r="C112" s="7"/>
      <c r="D112" s="8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Q112" s="10"/>
    </row>
    <row r="113" spans="3:17" s="5" customFormat="1" x14ac:dyDescent="0.25">
      <c r="C113" s="7"/>
      <c r="D113" s="8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Q113" s="10"/>
    </row>
    <row r="114" spans="3:17" s="5" customFormat="1" x14ac:dyDescent="0.25">
      <c r="C114" s="7"/>
      <c r="D114" s="8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Q114" s="10"/>
    </row>
    <row r="115" spans="3:17" s="5" customFormat="1" x14ac:dyDescent="0.25">
      <c r="C115" s="7"/>
      <c r="D115" s="8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Q115" s="10"/>
    </row>
    <row r="116" spans="3:17" s="5" customFormat="1" x14ac:dyDescent="0.25">
      <c r="C116" s="7"/>
      <c r="D116" s="8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Q116" s="10"/>
    </row>
    <row r="117" spans="3:17" s="5" customFormat="1" x14ac:dyDescent="0.25">
      <c r="C117" s="7"/>
      <c r="D117" s="8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Q117" s="10"/>
    </row>
    <row r="118" spans="3:17" s="5" customFormat="1" x14ac:dyDescent="0.25">
      <c r="C118" s="7"/>
      <c r="D118" s="8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Q118" s="10"/>
    </row>
    <row r="119" spans="3:17" s="5" customFormat="1" x14ac:dyDescent="0.25">
      <c r="C119" s="7"/>
      <c r="D119" s="8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Q119" s="10"/>
    </row>
    <row r="120" spans="3:17" s="5" customFormat="1" x14ac:dyDescent="0.25">
      <c r="C120" s="7"/>
      <c r="D120" s="8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Q120" s="10"/>
    </row>
    <row r="121" spans="3:17" s="5" customFormat="1" x14ac:dyDescent="0.25">
      <c r="C121" s="7"/>
      <c r="D121" s="8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Q121" s="10"/>
    </row>
    <row r="122" spans="3:17" s="5" customFormat="1" x14ac:dyDescent="0.25">
      <c r="C122" s="7"/>
      <c r="D122" s="8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Q122" s="10"/>
    </row>
    <row r="123" spans="3:17" s="5" customFormat="1" x14ac:dyDescent="0.25">
      <c r="C123" s="7"/>
      <c r="D123" s="8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Q123" s="10"/>
    </row>
    <row r="124" spans="3:17" s="5" customFormat="1" x14ac:dyDescent="0.25">
      <c r="C124" s="7"/>
      <c r="D124" s="8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Q124" s="10"/>
    </row>
    <row r="125" spans="3:17" s="5" customFormat="1" x14ac:dyDescent="0.25">
      <c r="C125" s="7"/>
      <c r="D125" s="8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Q125" s="10"/>
    </row>
    <row r="126" spans="3:17" s="5" customFormat="1" x14ac:dyDescent="0.25">
      <c r="C126" s="7"/>
      <c r="D126" s="8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Q126" s="10"/>
    </row>
    <row r="127" spans="3:17" s="5" customFormat="1" x14ac:dyDescent="0.25">
      <c r="C127" s="7"/>
      <c r="D127" s="8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Q127" s="10"/>
    </row>
    <row r="128" spans="3:17" s="5" customFormat="1" x14ac:dyDescent="0.25">
      <c r="C128" s="7"/>
      <c r="D128" s="8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Q128" s="10"/>
    </row>
    <row r="129" spans="3:17" s="5" customFormat="1" x14ac:dyDescent="0.25">
      <c r="C129" s="7"/>
      <c r="D129" s="8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Q129" s="10"/>
    </row>
    <row r="130" spans="3:17" s="5" customFormat="1" x14ac:dyDescent="0.25">
      <c r="C130" s="7"/>
      <c r="D130" s="8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Q130" s="10"/>
    </row>
    <row r="131" spans="3:17" s="5" customFormat="1" x14ac:dyDescent="0.25">
      <c r="C131" s="7"/>
      <c r="D131" s="8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Q131" s="10"/>
    </row>
    <row r="132" spans="3:17" s="5" customFormat="1" x14ac:dyDescent="0.25">
      <c r="C132" s="7"/>
      <c r="D132" s="8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Q132" s="10"/>
    </row>
    <row r="133" spans="3:17" s="5" customFormat="1" x14ac:dyDescent="0.25">
      <c r="C133" s="7"/>
      <c r="D133" s="8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Q133" s="10"/>
    </row>
    <row r="134" spans="3:17" s="5" customFormat="1" x14ac:dyDescent="0.25">
      <c r="C134" s="7"/>
      <c r="D134" s="8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Q134" s="10"/>
    </row>
    <row r="135" spans="3:17" s="5" customFormat="1" x14ac:dyDescent="0.25">
      <c r="C135" s="7"/>
      <c r="D135" s="8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Q135" s="10"/>
    </row>
    <row r="136" spans="3:17" s="5" customFormat="1" x14ac:dyDescent="0.25">
      <c r="C136" s="7"/>
      <c r="D136" s="8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Q136" s="10"/>
    </row>
    <row r="137" spans="3:17" s="5" customFormat="1" x14ac:dyDescent="0.25">
      <c r="C137" s="7"/>
      <c r="D137" s="8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Q137" s="10"/>
    </row>
    <row r="138" spans="3:17" s="5" customFormat="1" x14ac:dyDescent="0.25">
      <c r="C138" s="7"/>
      <c r="D138" s="8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Q138" s="10"/>
    </row>
    <row r="139" spans="3:17" s="5" customFormat="1" x14ac:dyDescent="0.25">
      <c r="C139" s="7"/>
      <c r="D139" s="8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Q139" s="10"/>
    </row>
    <row r="140" spans="3:17" s="5" customFormat="1" x14ac:dyDescent="0.25">
      <c r="C140" s="7"/>
      <c r="D140" s="8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Q140" s="10"/>
    </row>
    <row r="141" spans="3:17" s="5" customFormat="1" x14ac:dyDescent="0.25">
      <c r="C141" s="7"/>
      <c r="D141" s="8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Q141" s="10"/>
    </row>
    <row r="142" spans="3:17" s="5" customFormat="1" x14ac:dyDescent="0.25">
      <c r="C142" s="7"/>
      <c r="D142" s="8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Q142" s="10"/>
    </row>
    <row r="143" spans="3:17" s="5" customFormat="1" x14ac:dyDescent="0.25">
      <c r="C143" s="7"/>
      <c r="D143" s="8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Q143" s="10"/>
    </row>
    <row r="144" spans="3:17" s="5" customFormat="1" x14ac:dyDescent="0.25">
      <c r="C144" s="7"/>
      <c r="D144" s="8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Q144" s="10"/>
    </row>
    <row r="145" spans="3:17" s="5" customFormat="1" x14ac:dyDescent="0.25">
      <c r="C145" s="7"/>
      <c r="D145" s="8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Q145" s="10"/>
    </row>
    <row r="146" spans="3:17" s="5" customFormat="1" x14ac:dyDescent="0.25">
      <c r="C146" s="7"/>
      <c r="D146" s="8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Q146" s="10"/>
    </row>
    <row r="147" spans="3:17" s="5" customFormat="1" x14ac:dyDescent="0.25">
      <c r="C147" s="7"/>
      <c r="D147" s="8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Q147" s="10"/>
    </row>
    <row r="148" spans="3:17" s="5" customFormat="1" x14ac:dyDescent="0.25">
      <c r="C148" s="7"/>
      <c r="D148" s="8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Q148" s="10"/>
    </row>
    <row r="149" spans="3:17" s="5" customFormat="1" x14ac:dyDescent="0.25">
      <c r="C149" s="7"/>
      <c r="D149" s="8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Q149" s="10"/>
    </row>
    <row r="150" spans="3:17" s="5" customFormat="1" x14ac:dyDescent="0.25">
      <c r="C150" s="7"/>
      <c r="D150" s="8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Q150" s="10"/>
    </row>
    <row r="151" spans="3:17" s="5" customFormat="1" x14ac:dyDescent="0.25">
      <c r="C151" s="7"/>
      <c r="D151" s="8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Q151" s="10"/>
    </row>
    <row r="152" spans="3:17" s="5" customFormat="1" x14ac:dyDescent="0.25">
      <c r="C152" s="7"/>
      <c r="D152" s="8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Q152" s="10"/>
    </row>
    <row r="153" spans="3:17" s="5" customFormat="1" x14ac:dyDescent="0.25">
      <c r="C153" s="7"/>
      <c r="D153" s="8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Q153" s="10"/>
    </row>
    <row r="154" spans="3:17" s="5" customFormat="1" x14ac:dyDescent="0.25">
      <c r="C154" s="7"/>
      <c r="D154" s="8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Q154" s="10"/>
    </row>
    <row r="155" spans="3:17" s="5" customFormat="1" x14ac:dyDescent="0.25">
      <c r="C155" s="7"/>
      <c r="D155" s="8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Q155" s="10"/>
    </row>
    <row r="156" spans="3:17" s="5" customFormat="1" x14ac:dyDescent="0.25">
      <c r="C156" s="7"/>
      <c r="D156" s="8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Q156" s="10"/>
    </row>
    <row r="157" spans="3:17" s="5" customFormat="1" x14ac:dyDescent="0.25">
      <c r="C157" s="7"/>
      <c r="D157" s="8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Q157" s="10"/>
    </row>
    <row r="158" spans="3:17" s="5" customFormat="1" x14ac:dyDescent="0.25">
      <c r="C158" s="7"/>
      <c r="D158" s="8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Q158" s="10"/>
    </row>
    <row r="159" spans="3:17" s="5" customFormat="1" x14ac:dyDescent="0.25">
      <c r="C159" s="7"/>
      <c r="D159" s="8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Q159" s="10"/>
    </row>
    <row r="160" spans="3:17" s="5" customFormat="1" x14ac:dyDescent="0.25">
      <c r="C160" s="7"/>
      <c r="D160" s="8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Q160" s="10"/>
    </row>
    <row r="161" spans="3:17" s="5" customFormat="1" x14ac:dyDescent="0.25">
      <c r="C161" s="7"/>
      <c r="D161" s="8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Q161" s="10"/>
    </row>
    <row r="162" spans="3:17" s="5" customFormat="1" x14ac:dyDescent="0.25">
      <c r="C162" s="7"/>
      <c r="D162" s="8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Q162" s="10"/>
    </row>
    <row r="163" spans="3:17" s="5" customFormat="1" x14ac:dyDescent="0.25">
      <c r="C163" s="7"/>
      <c r="D163" s="8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Q163" s="10"/>
    </row>
    <row r="164" spans="3:17" s="5" customFormat="1" x14ac:dyDescent="0.25">
      <c r="C164" s="7"/>
      <c r="D164" s="8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Q164" s="10"/>
    </row>
    <row r="165" spans="3:17" s="5" customFormat="1" x14ac:dyDescent="0.25">
      <c r="C165" s="7"/>
      <c r="D165" s="8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Q165" s="10"/>
    </row>
    <row r="166" spans="3:17" s="5" customFormat="1" x14ac:dyDescent="0.25">
      <c r="C166" s="7"/>
      <c r="D166" s="8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Q166" s="10"/>
    </row>
    <row r="167" spans="3:17" s="5" customFormat="1" x14ac:dyDescent="0.25">
      <c r="C167" s="7"/>
      <c r="D167" s="8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Q167" s="10"/>
    </row>
    <row r="168" spans="3:17" s="5" customFormat="1" x14ac:dyDescent="0.25">
      <c r="C168" s="7"/>
      <c r="D168" s="8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Q168" s="10"/>
    </row>
    <row r="169" spans="3:17" s="5" customFormat="1" x14ac:dyDescent="0.25">
      <c r="C169" s="7"/>
      <c r="D169" s="8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Q169" s="10"/>
    </row>
    <row r="170" spans="3:17" s="5" customFormat="1" x14ac:dyDescent="0.25">
      <c r="C170" s="7"/>
      <c r="D170" s="8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Q170" s="10"/>
    </row>
    <row r="171" spans="3:17" s="5" customFormat="1" x14ac:dyDescent="0.25">
      <c r="C171" s="7"/>
      <c r="D171" s="8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Q171" s="10"/>
    </row>
    <row r="172" spans="3:17" s="5" customFormat="1" x14ac:dyDescent="0.25">
      <c r="C172" s="7"/>
      <c r="D172" s="8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Q172" s="10"/>
    </row>
    <row r="173" spans="3:17" s="5" customFormat="1" x14ac:dyDescent="0.25">
      <c r="C173" s="7"/>
      <c r="D173" s="8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Q173" s="10"/>
    </row>
    <row r="174" spans="3:17" s="5" customFormat="1" x14ac:dyDescent="0.25">
      <c r="C174" s="7"/>
      <c r="D174" s="8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Q174" s="10"/>
    </row>
    <row r="175" spans="3:17" s="5" customFormat="1" x14ac:dyDescent="0.25">
      <c r="C175" s="7"/>
      <c r="D175" s="8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Q175" s="10"/>
    </row>
    <row r="176" spans="3:17" s="5" customFormat="1" x14ac:dyDescent="0.25">
      <c r="C176" s="7"/>
      <c r="D176" s="8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Q176" s="10"/>
    </row>
    <row r="177" spans="3:17" s="5" customFormat="1" x14ac:dyDescent="0.25">
      <c r="C177" s="7"/>
      <c r="D177" s="8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Q177" s="10"/>
    </row>
    <row r="178" spans="3:17" s="5" customFormat="1" x14ac:dyDescent="0.25">
      <c r="C178" s="7"/>
      <c r="D178" s="8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Q178" s="10"/>
    </row>
    <row r="179" spans="3:17" s="5" customFormat="1" x14ac:dyDescent="0.25">
      <c r="C179" s="7"/>
      <c r="D179" s="8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Q179" s="10"/>
    </row>
    <row r="180" spans="3:17" s="5" customFormat="1" x14ac:dyDescent="0.25">
      <c r="C180" s="7"/>
      <c r="D180" s="8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Q180" s="10"/>
    </row>
    <row r="181" spans="3:17" s="5" customFormat="1" x14ac:dyDescent="0.25">
      <c r="C181" s="7"/>
      <c r="D181" s="8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Q181" s="10"/>
    </row>
    <row r="182" spans="3:17" s="5" customFormat="1" x14ac:dyDescent="0.25">
      <c r="C182" s="7"/>
      <c r="D182" s="8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Q182" s="10"/>
    </row>
    <row r="183" spans="3:17" s="5" customFormat="1" x14ac:dyDescent="0.25">
      <c r="C183" s="7"/>
      <c r="D183" s="8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Q183" s="10"/>
    </row>
    <row r="184" spans="3:17" s="5" customFormat="1" x14ac:dyDescent="0.25">
      <c r="C184" s="7"/>
      <c r="D184" s="8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Q184" s="10"/>
    </row>
    <row r="185" spans="3:17" s="5" customFormat="1" x14ac:dyDescent="0.25">
      <c r="C185" s="7"/>
      <c r="D185" s="8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Q185" s="10"/>
    </row>
    <row r="186" spans="3:17" s="5" customFormat="1" x14ac:dyDescent="0.25">
      <c r="C186" s="7"/>
      <c r="D186" s="8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Q186" s="10"/>
    </row>
    <row r="187" spans="3:17" s="5" customFormat="1" x14ac:dyDescent="0.25">
      <c r="C187" s="7"/>
      <c r="D187" s="8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Q187" s="10"/>
    </row>
    <row r="188" spans="3:17" s="5" customFormat="1" x14ac:dyDescent="0.25">
      <c r="C188" s="7"/>
      <c r="D188" s="8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Q188" s="10"/>
    </row>
    <row r="189" spans="3:17" s="5" customFormat="1" x14ac:dyDescent="0.25">
      <c r="C189" s="7"/>
      <c r="D189" s="8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Q189" s="10"/>
    </row>
    <row r="190" spans="3:17" s="5" customFormat="1" x14ac:dyDescent="0.25">
      <c r="C190" s="7"/>
      <c r="D190" s="8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Q190" s="10"/>
    </row>
    <row r="191" spans="3:17" s="5" customFormat="1" x14ac:dyDescent="0.25">
      <c r="C191" s="7"/>
      <c r="D191" s="8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Q191" s="10"/>
    </row>
    <row r="192" spans="3:17" s="5" customFormat="1" x14ac:dyDescent="0.25">
      <c r="C192" s="7"/>
      <c r="D192" s="8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Q192" s="10"/>
    </row>
    <row r="193" spans="3:17" s="5" customFormat="1" x14ac:dyDescent="0.25">
      <c r="C193" s="7"/>
      <c r="D193" s="8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Q193" s="10"/>
    </row>
    <row r="194" spans="3:17" s="5" customFormat="1" x14ac:dyDescent="0.25">
      <c r="C194" s="7"/>
      <c r="D194" s="8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Q194" s="10"/>
    </row>
    <row r="195" spans="3:17" s="5" customFormat="1" x14ac:dyDescent="0.25">
      <c r="C195" s="7"/>
      <c r="D195" s="8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Q195" s="10"/>
    </row>
    <row r="196" spans="3:17" s="5" customFormat="1" x14ac:dyDescent="0.25">
      <c r="C196" s="7"/>
      <c r="D196" s="8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Q196" s="10"/>
    </row>
    <row r="197" spans="3:17" s="5" customFormat="1" x14ac:dyDescent="0.25">
      <c r="C197" s="7"/>
      <c r="D197" s="8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Q197" s="10"/>
    </row>
    <row r="198" spans="3:17" s="5" customFormat="1" x14ac:dyDescent="0.25">
      <c r="C198" s="7"/>
      <c r="D198" s="8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Q198" s="10"/>
    </row>
    <row r="199" spans="3:17" s="5" customFormat="1" x14ac:dyDescent="0.25">
      <c r="C199" s="7"/>
      <c r="D199" s="8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Q199" s="10"/>
    </row>
    <row r="200" spans="3:17" s="5" customFormat="1" x14ac:dyDescent="0.25">
      <c r="C200" s="7"/>
      <c r="D200" s="8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Q200" s="10"/>
    </row>
    <row r="201" spans="3:17" s="5" customFormat="1" x14ac:dyDescent="0.25">
      <c r="C201" s="7"/>
      <c r="D201" s="8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Q201" s="10"/>
    </row>
    <row r="202" spans="3:17" s="5" customFormat="1" x14ac:dyDescent="0.25">
      <c r="C202" s="7"/>
      <c r="D202" s="8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Q202" s="10"/>
    </row>
    <row r="203" spans="3:17" s="5" customFormat="1" x14ac:dyDescent="0.25">
      <c r="C203" s="7"/>
      <c r="D203" s="8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Q203" s="10"/>
    </row>
    <row r="204" spans="3:17" s="5" customFormat="1" x14ac:dyDescent="0.25">
      <c r="C204" s="7"/>
      <c r="D204" s="8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Q204" s="10"/>
    </row>
    <row r="205" spans="3:17" s="5" customFormat="1" x14ac:dyDescent="0.25">
      <c r="C205" s="7"/>
      <c r="D205" s="8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Q205" s="10"/>
    </row>
    <row r="206" spans="3:17" s="5" customFormat="1" x14ac:dyDescent="0.25">
      <c r="C206" s="7"/>
      <c r="D206" s="8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Q206" s="10"/>
    </row>
    <row r="207" spans="3:17" s="5" customFormat="1" x14ac:dyDescent="0.25">
      <c r="C207" s="7"/>
      <c r="D207" s="8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Q207" s="10"/>
    </row>
    <row r="208" spans="3:17" s="5" customFormat="1" x14ac:dyDescent="0.25">
      <c r="C208" s="7"/>
      <c r="D208" s="8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Q208" s="10"/>
    </row>
    <row r="209" spans="3:17" s="5" customFormat="1" x14ac:dyDescent="0.25">
      <c r="C209" s="7"/>
      <c r="D209" s="8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Q209" s="10"/>
    </row>
    <row r="210" spans="3:17" s="5" customFormat="1" x14ac:dyDescent="0.25">
      <c r="C210" s="7"/>
      <c r="D210" s="8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Q210" s="10"/>
    </row>
    <row r="211" spans="3:17" s="5" customFormat="1" x14ac:dyDescent="0.25">
      <c r="C211" s="7"/>
      <c r="D211" s="8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Q211" s="10"/>
    </row>
    <row r="212" spans="3:17" s="5" customFormat="1" x14ac:dyDescent="0.25">
      <c r="C212" s="7"/>
      <c r="D212" s="8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Q212" s="10"/>
    </row>
    <row r="213" spans="3:17" s="5" customFormat="1" x14ac:dyDescent="0.25">
      <c r="C213" s="7"/>
      <c r="D213" s="8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Q213" s="10"/>
    </row>
    <row r="214" spans="3:17" s="5" customFormat="1" x14ac:dyDescent="0.25">
      <c r="C214" s="7"/>
      <c r="D214" s="8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Q214" s="10"/>
    </row>
    <row r="215" spans="3:17" s="5" customFormat="1" x14ac:dyDescent="0.25">
      <c r="C215" s="7"/>
      <c r="D215" s="8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Q215" s="10"/>
    </row>
    <row r="216" spans="3:17" s="5" customFormat="1" x14ac:dyDescent="0.25">
      <c r="C216" s="7"/>
      <c r="D216" s="8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Q216" s="10"/>
    </row>
    <row r="217" spans="3:17" s="5" customFormat="1" x14ac:dyDescent="0.25">
      <c r="C217" s="7"/>
      <c r="D217" s="8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Q217" s="10"/>
    </row>
    <row r="218" spans="3:17" s="5" customFormat="1" x14ac:dyDescent="0.25">
      <c r="C218" s="7"/>
      <c r="D218" s="8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Q218" s="10"/>
    </row>
    <row r="219" spans="3:17" s="5" customFormat="1" x14ac:dyDescent="0.25">
      <c r="C219" s="7"/>
      <c r="D219" s="8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Q219" s="10"/>
    </row>
    <row r="220" spans="3:17" s="5" customFormat="1" x14ac:dyDescent="0.25">
      <c r="C220" s="7"/>
      <c r="D220" s="8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Q220" s="10"/>
    </row>
    <row r="221" spans="3:17" s="5" customFormat="1" x14ac:dyDescent="0.25">
      <c r="C221" s="7"/>
      <c r="D221" s="8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Q221" s="10"/>
    </row>
    <row r="222" spans="3:17" s="5" customFormat="1" x14ac:dyDescent="0.25">
      <c r="C222" s="7"/>
      <c r="D222" s="8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Q222" s="10"/>
    </row>
    <row r="223" spans="3:17" s="5" customFormat="1" x14ac:dyDescent="0.25">
      <c r="C223" s="7"/>
      <c r="D223" s="8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Q223" s="10"/>
    </row>
    <row r="224" spans="3:17" s="5" customFormat="1" x14ac:dyDescent="0.25">
      <c r="C224" s="7"/>
      <c r="D224" s="8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Q224" s="10"/>
    </row>
    <row r="225" spans="3:17" s="5" customFormat="1" x14ac:dyDescent="0.25">
      <c r="C225" s="7"/>
      <c r="D225" s="8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Q225" s="10"/>
    </row>
    <row r="226" spans="3:17" s="5" customFormat="1" x14ac:dyDescent="0.25">
      <c r="C226" s="7"/>
      <c r="D226" s="8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Q226" s="10"/>
    </row>
    <row r="227" spans="3:17" s="5" customFormat="1" x14ac:dyDescent="0.25">
      <c r="C227" s="7"/>
      <c r="D227" s="8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Q227" s="10"/>
    </row>
    <row r="228" spans="3:17" s="5" customFormat="1" x14ac:dyDescent="0.25">
      <c r="C228" s="7"/>
      <c r="D228" s="8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Q228" s="10"/>
    </row>
    <row r="229" spans="3:17" s="5" customFormat="1" x14ac:dyDescent="0.25">
      <c r="C229" s="7"/>
      <c r="D229" s="8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Q229" s="10"/>
    </row>
    <row r="230" spans="3:17" s="5" customFormat="1" x14ac:dyDescent="0.25">
      <c r="C230" s="7"/>
      <c r="D230" s="8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Q230" s="10"/>
    </row>
    <row r="231" spans="3:17" s="5" customFormat="1" x14ac:dyDescent="0.25">
      <c r="C231" s="7"/>
      <c r="D231" s="8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Q231" s="10"/>
    </row>
    <row r="232" spans="3:17" s="5" customFormat="1" x14ac:dyDescent="0.25">
      <c r="C232" s="7"/>
      <c r="D232" s="8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Q232" s="10"/>
    </row>
    <row r="233" spans="3:17" s="5" customFormat="1" x14ac:dyDescent="0.25">
      <c r="C233" s="7"/>
      <c r="D233" s="8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Q233" s="10"/>
    </row>
    <row r="234" spans="3:17" s="5" customFormat="1" x14ac:dyDescent="0.25">
      <c r="C234" s="7"/>
      <c r="D234" s="8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Q234" s="10"/>
    </row>
    <row r="235" spans="3:17" s="5" customFormat="1" x14ac:dyDescent="0.25">
      <c r="C235" s="7"/>
      <c r="D235" s="8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Q235" s="10"/>
    </row>
    <row r="236" spans="3:17" s="5" customFormat="1" x14ac:dyDescent="0.25">
      <c r="C236" s="7"/>
      <c r="D236" s="8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Q236" s="10"/>
    </row>
    <row r="237" spans="3:17" s="5" customFormat="1" x14ac:dyDescent="0.25">
      <c r="C237" s="7"/>
      <c r="D237" s="8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Q237" s="10"/>
    </row>
    <row r="238" spans="3:17" s="5" customFormat="1" x14ac:dyDescent="0.25">
      <c r="C238" s="7"/>
      <c r="D238" s="8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Q238" s="10"/>
    </row>
    <row r="239" spans="3:17" s="5" customFormat="1" x14ac:dyDescent="0.25">
      <c r="C239" s="7"/>
      <c r="D239" s="8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Q239" s="10"/>
    </row>
    <row r="240" spans="3:17" s="5" customFormat="1" x14ac:dyDescent="0.25">
      <c r="C240" s="7"/>
      <c r="D240" s="8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Q240" s="10"/>
    </row>
    <row r="241" spans="3:17" s="5" customFormat="1" x14ac:dyDescent="0.25">
      <c r="C241" s="7"/>
      <c r="D241" s="8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Q241" s="10"/>
    </row>
    <row r="242" spans="3:17" s="5" customFormat="1" x14ac:dyDescent="0.25">
      <c r="C242" s="7"/>
      <c r="D242" s="8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Q242" s="10"/>
    </row>
    <row r="243" spans="3:17" s="5" customFormat="1" x14ac:dyDescent="0.25">
      <c r="C243" s="7"/>
      <c r="D243" s="8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Q243" s="10"/>
    </row>
    <row r="244" spans="3:17" s="5" customFormat="1" x14ac:dyDescent="0.25">
      <c r="C244" s="7"/>
      <c r="D244" s="8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Q244" s="10"/>
    </row>
    <row r="245" spans="3:17" s="5" customFormat="1" x14ac:dyDescent="0.25">
      <c r="C245" s="7"/>
      <c r="D245" s="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Q245" s="10"/>
    </row>
    <row r="246" spans="3:17" s="5" customFormat="1" x14ac:dyDescent="0.25">
      <c r="C246" s="7"/>
      <c r="D246" s="8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Q246" s="10"/>
    </row>
    <row r="247" spans="3:17" s="5" customFormat="1" x14ac:dyDescent="0.25">
      <c r="C247" s="7"/>
      <c r="D247" s="8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Q247" s="10"/>
    </row>
    <row r="248" spans="3:17" s="5" customFormat="1" x14ac:dyDescent="0.25">
      <c r="C248" s="7"/>
      <c r="D248" s="8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Q248" s="10"/>
    </row>
    <row r="249" spans="3:17" s="5" customFormat="1" x14ac:dyDescent="0.25">
      <c r="C249" s="7"/>
      <c r="D249" s="8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Q249" s="10"/>
    </row>
    <row r="250" spans="3:17" s="5" customFormat="1" x14ac:dyDescent="0.25">
      <c r="C250" s="7"/>
      <c r="D250" s="8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Q250" s="10"/>
    </row>
    <row r="251" spans="3:17" s="5" customFormat="1" x14ac:dyDescent="0.25">
      <c r="C251" s="7"/>
      <c r="D251" s="8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Q251" s="10"/>
    </row>
    <row r="252" spans="3:17" s="5" customFormat="1" x14ac:dyDescent="0.25">
      <c r="C252" s="7"/>
      <c r="D252" s="8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Q252" s="10"/>
    </row>
    <row r="253" spans="3:17" s="5" customFormat="1" x14ac:dyDescent="0.25">
      <c r="C253" s="7"/>
      <c r="D253" s="8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Q253" s="10"/>
    </row>
    <row r="254" spans="3:17" s="5" customFormat="1" x14ac:dyDescent="0.25">
      <c r="C254" s="7"/>
      <c r="D254" s="8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Q254" s="10"/>
    </row>
    <row r="255" spans="3:17" s="5" customFormat="1" x14ac:dyDescent="0.25">
      <c r="C255" s="7"/>
      <c r="D255" s="8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Q255" s="10"/>
    </row>
    <row r="256" spans="3:17" s="5" customFormat="1" x14ac:dyDescent="0.25">
      <c r="C256" s="7"/>
      <c r="D256" s="8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Q256" s="10"/>
    </row>
    <row r="257" spans="3:17" s="5" customFormat="1" x14ac:dyDescent="0.25">
      <c r="C257" s="7"/>
      <c r="D257" s="8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Q257" s="10"/>
    </row>
    <row r="258" spans="3:17" s="5" customFormat="1" x14ac:dyDescent="0.25">
      <c r="C258" s="7"/>
      <c r="D258" s="8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Q258" s="10"/>
    </row>
    <row r="259" spans="3:17" s="5" customFormat="1" x14ac:dyDescent="0.25">
      <c r="C259" s="7"/>
      <c r="D259" s="8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Q259" s="10"/>
    </row>
    <row r="260" spans="3:17" s="5" customFormat="1" x14ac:dyDescent="0.25">
      <c r="C260" s="7"/>
      <c r="D260" s="8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Q260" s="10"/>
    </row>
    <row r="261" spans="3:17" s="5" customFormat="1" x14ac:dyDescent="0.25">
      <c r="C261" s="7"/>
      <c r="D261" s="8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Q261" s="10"/>
    </row>
    <row r="262" spans="3:17" s="5" customFormat="1" x14ac:dyDescent="0.25">
      <c r="C262" s="7"/>
      <c r="D262" s="8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Q262" s="10"/>
    </row>
    <row r="263" spans="3:17" s="5" customFormat="1" x14ac:dyDescent="0.25">
      <c r="C263" s="7"/>
      <c r="D263" s="8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Q263" s="10"/>
    </row>
    <row r="264" spans="3:17" s="5" customFormat="1" x14ac:dyDescent="0.25">
      <c r="C264" s="7"/>
      <c r="D264" s="8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Q264" s="10"/>
    </row>
    <row r="265" spans="3:17" s="5" customFormat="1" x14ac:dyDescent="0.25">
      <c r="C265" s="7"/>
      <c r="D265" s="8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Q265" s="10"/>
    </row>
    <row r="266" spans="3:17" s="5" customFormat="1" x14ac:dyDescent="0.25">
      <c r="C266" s="7"/>
      <c r="D266" s="8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Q266" s="10"/>
    </row>
    <row r="267" spans="3:17" s="5" customFormat="1" x14ac:dyDescent="0.25">
      <c r="C267" s="7"/>
      <c r="D267" s="8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Q267" s="10"/>
    </row>
    <row r="268" spans="3:17" s="5" customFormat="1" x14ac:dyDescent="0.25">
      <c r="C268" s="7"/>
      <c r="D268" s="8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Q268" s="10"/>
    </row>
    <row r="269" spans="3:17" s="5" customFormat="1" x14ac:dyDescent="0.25">
      <c r="C269" s="7"/>
      <c r="D269" s="8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Q269" s="10"/>
    </row>
    <row r="270" spans="3:17" s="5" customFormat="1" x14ac:dyDescent="0.25">
      <c r="C270" s="7"/>
      <c r="D270" s="8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Q270" s="10"/>
    </row>
    <row r="271" spans="3:17" s="5" customFormat="1" x14ac:dyDescent="0.25">
      <c r="C271" s="7"/>
      <c r="D271" s="8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Q271" s="10"/>
    </row>
    <row r="272" spans="3:17" s="5" customFormat="1" x14ac:dyDescent="0.25">
      <c r="C272" s="7"/>
      <c r="D272" s="8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Q272" s="10"/>
    </row>
    <row r="273" spans="3:17" s="5" customFormat="1" x14ac:dyDescent="0.25">
      <c r="C273" s="7"/>
      <c r="D273" s="8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Q273" s="10"/>
    </row>
    <row r="274" spans="3:17" s="5" customFormat="1" x14ac:dyDescent="0.25">
      <c r="C274" s="7"/>
      <c r="D274" s="8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Q274" s="10"/>
    </row>
    <row r="275" spans="3:17" s="5" customFormat="1" x14ac:dyDescent="0.25">
      <c r="C275" s="7"/>
      <c r="D275" s="8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Q275" s="10"/>
    </row>
    <row r="276" spans="3:17" s="5" customFormat="1" x14ac:dyDescent="0.25">
      <c r="C276" s="7"/>
      <c r="D276" s="8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Q276" s="10"/>
    </row>
    <row r="277" spans="3:17" s="5" customFormat="1" x14ac:dyDescent="0.25">
      <c r="C277" s="7"/>
      <c r="D277" s="8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Q277" s="10"/>
    </row>
    <row r="278" spans="3:17" s="5" customFormat="1" x14ac:dyDescent="0.25">
      <c r="C278" s="7"/>
      <c r="D278" s="8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Q278" s="10"/>
    </row>
    <row r="279" spans="3:17" s="5" customFormat="1" x14ac:dyDescent="0.25">
      <c r="C279" s="7"/>
      <c r="D279" s="8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Q279" s="10"/>
    </row>
    <row r="280" spans="3:17" s="5" customFormat="1" x14ac:dyDescent="0.25">
      <c r="C280" s="7"/>
      <c r="D280" s="8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Q280" s="10"/>
    </row>
    <row r="281" spans="3:17" s="5" customFormat="1" x14ac:dyDescent="0.25">
      <c r="C281" s="7"/>
      <c r="D281" s="8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Q281" s="10"/>
    </row>
    <row r="282" spans="3:17" s="5" customFormat="1" x14ac:dyDescent="0.25">
      <c r="C282" s="7"/>
      <c r="D282" s="8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Q282" s="10"/>
    </row>
    <row r="283" spans="3:17" s="5" customFormat="1" x14ac:dyDescent="0.25">
      <c r="C283" s="7"/>
      <c r="D283" s="8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Q283" s="10"/>
    </row>
    <row r="284" spans="3:17" s="5" customFormat="1" x14ac:dyDescent="0.25">
      <c r="C284" s="7"/>
      <c r="D284" s="8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Q284" s="10"/>
    </row>
    <row r="285" spans="3:17" s="5" customFormat="1" x14ac:dyDescent="0.25">
      <c r="C285" s="7"/>
      <c r="D285" s="8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Q285" s="10"/>
    </row>
    <row r="286" spans="3:17" s="5" customFormat="1" x14ac:dyDescent="0.25">
      <c r="C286" s="7"/>
      <c r="D286" s="8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Q286" s="10"/>
    </row>
    <row r="287" spans="3:17" s="5" customFormat="1" x14ac:dyDescent="0.25">
      <c r="C287" s="7"/>
      <c r="D287" s="8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Q287" s="10"/>
    </row>
    <row r="288" spans="3:17" s="5" customFormat="1" x14ac:dyDescent="0.25">
      <c r="C288" s="7"/>
      <c r="D288" s="8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Q288" s="10"/>
    </row>
    <row r="289" spans="3:17" s="5" customFormat="1" x14ac:dyDescent="0.25">
      <c r="C289" s="7"/>
      <c r="D289" s="8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Q289" s="10"/>
    </row>
    <row r="290" spans="3:17" s="5" customFormat="1" x14ac:dyDescent="0.25">
      <c r="C290" s="7"/>
      <c r="D290" s="8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Q290" s="10"/>
    </row>
    <row r="291" spans="3:17" s="5" customFormat="1" x14ac:dyDescent="0.25">
      <c r="C291" s="7"/>
      <c r="D291" s="8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Q291" s="10"/>
    </row>
    <row r="292" spans="3:17" s="5" customFormat="1" x14ac:dyDescent="0.25">
      <c r="C292" s="7"/>
      <c r="D292" s="8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Q292" s="10"/>
    </row>
    <row r="293" spans="3:17" s="5" customFormat="1" x14ac:dyDescent="0.25">
      <c r="C293" s="7"/>
      <c r="D293" s="8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Q293" s="10"/>
    </row>
    <row r="294" spans="3:17" s="5" customFormat="1" x14ac:dyDescent="0.25">
      <c r="C294" s="7"/>
      <c r="D294" s="8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Q294" s="10"/>
    </row>
    <row r="295" spans="3:17" s="5" customFormat="1" x14ac:dyDescent="0.25">
      <c r="C295" s="7"/>
      <c r="D295" s="8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Q295" s="10"/>
    </row>
    <row r="296" spans="3:17" s="5" customFormat="1" x14ac:dyDescent="0.25">
      <c r="C296" s="7"/>
      <c r="D296" s="8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Q296" s="10"/>
    </row>
    <row r="297" spans="3:17" s="5" customFormat="1" x14ac:dyDescent="0.25">
      <c r="C297" s="7"/>
      <c r="D297" s="8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Q297" s="10"/>
    </row>
    <row r="298" spans="3:17" s="5" customFormat="1" x14ac:dyDescent="0.25">
      <c r="C298" s="7"/>
      <c r="D298" s="8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Q298" s="10"/>
    </row>
    <row r="299" spans="3:17" s="5" customFormat="1" x14ac:dyDescent="0.25">
      <c r="C299" s="7"/>
      <c r="D299" s="8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Q299" s="10"/>
    </row>
    <row r="300" spans="3:17" s="5" customFormat="1" x14ac:dyDescent="0.25">
      <c r="C300" s="7"/>
      <c r="D300" s="8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Q300" s="10"/>
    </row>
    <row r="301" spans="3:17" s="5" customFormat="1" x14ac:dyDescent="0.25">
      <c r="C301" s="7"/>
      <c r="D301" s="8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Q301" s="10"/>
    </row>
    <row r="302" spans="3:17" s="5" customFormat="1" x14ac:dyDescent="0.25">
      <c r="C302" s="7"/>
      <c r="D302" s="8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Q302" s="10"/>
    </row>
    <row r="303" spans="3:17" s="5" customFormat="1" x14ac:dyDescent="0.25">
      <c r="C303" s="7"/>
      <c r="D303" s="8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Q303" s="10"/>
    </row>
    <row r="304" spans="3:17" s="5" customFormat="1" x14ac:dyDescent="0.25">
      <c r="C304" s="7"/>
      <c r="D304" s="8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Q304" s="10"/>
    </row>
    <row r="305" spans="3:17" s="5" customFormat="1" x14ac:dyDescent="0.25">
      <c r="C305" s="7"/>
      <c r="D305" s="8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Q305" s="10"/>
    </row>
    <row r="306" spans="3:17" s="5" customFormat="1" x14ac:dyDescent="0.25">
      <c r="C306" s="7"/>
      <c r="D306" s="8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Q306" s="10"/>
    </row>
    <row r="307" spans="3:17" s="5" customFormat="1" x14ac:dyDescent="0.25">
      <c r="C307" s="7"/>
      <c r="D307" s="8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Q307" s="10"/>
    </row>
    <row r="308" spans="3:17" s="5" customFormat="1" x14ac:dyDescent="0.25">
      <c r="C308" s="7"/>
      <c r="D308" s="8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Q308" s="10"/>
    </row>
    <row r="309" spans="3:17" s="5" customFormat="1" x14ac:dyDescent="0.25">
      <c r="C309" s="7"/>
      <c r="D309" s="8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Q309" s="10"/>
    </row>
    <row r="310" spans="3:17" s="5" customFormat="1" x14ac:dyDescent="0.25">
      <c r="C310" s="7"/>
      <c r="D310" s="8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Q310" s="10"/>
    </row>
    <row r="311" spans="3:17" s="5" customFormat="1" x14ac:dyDescent="0.25">
      <c r="C311" s="7"/>
      <c r="D311" s="8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Q311" s="10"/>
    </row>
    <row r="312" spans="3:17" s="5" customFormat="1" x14ac:dyDescent="0.25">
      <c r="C312" s="7"/>
      <c r="D312" s="8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Q312" s="10"/>
    </row>
    <row r="313" spans="3:17" s="5" customFormat="1" x14ac:dyDescent="0.25">
      <c r="C313" s="7"/>
      <c r="D313" s="8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Q313" s="10"/>
    </row>
    <row r="314" spans="3:17" s="5" customFormat="1" x14ac:dyDescent="0.25">
      <c r="C314" s="7"/>
      <c r="D314" s="8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Q314" s="10"/>
    </row>
    <row r="315" spans="3:17" s="5" customFormat="1" x14ac:dyDescent="0.25">
      <c r="C315" s="7"/>
      <c r="D315" s="8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Q315" s="10"/>
    </row>
    <row r="316" spans="3:17" s="5" customFormat="1" x14ac:dyDescent="0.25">
      <c r="C316" s="7"/>
      <c r="D316" s="8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Q316" s="10"/>
    </row>
    <row r="317" spans="3:17" s="5" customFormat="1" x14ac:dyDescent="0.25">
      <c r="C317" s="7"/>
      <c r="D317" s="8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Q317" s="10"/>
    </row>
    <row r="318" spans="3:17" s="5" customFormat="1" x14ac:dyDescent="0.25">
      <c r="C318" s="7"/>
      <c r="D318" s="8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Q318" s="10"/>
    </row>
    <row r="319" spans="3:17" s="5" customFormat="1" x14ac:dyDescent="0.25">
      <c r="C319" s="7"/>
      <c r="D319" s="8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Q319" s="10"/>
    </row>
    <row r="320" spans="3:17" s="5" customFormat="1" x14ac:dyDescent="0.25">
      <c r="C320" s="7"/>
      <c r="D320" s="8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Q320" s="10"/>
    </row>
    <row r="321" spans="3:17" s="5" customFormat="1" x14ac:dyDescent="0.25">
      <c r="C321" s="7"/>
      <c r="D321" s="8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Q321" s="10"/>
    </row>
    <row r="322" spans="3:17" s="5" customFormat="1" x14ac:dyDescent="0.25">
      <c r="C322" s="7"/>
      <c r="D322" s="8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Q322" s="10"/>
    </row>
    <row r="323" spans="3:17" s="5" customFormat="1" x14ac:dyDescent="0.25">
      <c r="C323" s="7"/>
      <c r="D323" s="8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Q323" s="10"/>
    </row>
    <row r="324" spans="3:17" s="5" customFormat="1" x14ac:dyDescent="0.25">
      <c r="C324" s="7"/>
      <c r="D324" s="8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Q324" s="10"/>
    </row>
    <row r="325" spans="3:17" s="5" customFormat="1" x14ac:dyDescent="0.25">
      <c r="C325" s="7"/>
      <c r="D325" s="8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Q325" s="10"/>
    </row>
    <row r="326" spans="3:17" s="5" customFormat="1" x14ac:dyDescent="0.25">
      <c r="C326" s="7"/>
      <c r="D326" s="8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Q326" s="10"/>
    </row>
    <row r="327" spans="3:17" s="5" customFormat="1" x14ac:dyDescent="0.25">
      <c r="C327" s="7"/>
      <c r="D327" s="8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Q327" s="10"/>
    </row>
    <row r="328" spans="3:17" s="5" customFormat="1" x14ac:dyDescent="0.25">
      <c r="C328" s="7"/>
      <c r="D328" s="8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Q328" s="10"/>
    </row>
    <row r="329" spans="3:17" s="5" customFormat="1" x14ac:dyDescent="0.25">
      <c r="C329" s="7"/>
      <c r="D329" s="8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Q329" s="10"/>
    </row>
    <row r="330" spans="3:17" s="5" customFormat="1" x14ac:dyDescent="0.25">
      <c r="C330" s="7"/>
      <c r="D330" s="8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Q330" s="10"/>
    </row>
    <row r="331" spans="3:17" s="5" customFormat="1" x14ac:dyDescent="0.25">
      <c r="C331" s="7"/>
      <c r="D331" s="8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Q331" s="10"/>
    </row>
    <row r="332" spans="3:17" s="5" customFormat="1" x14ac:dyDescent="0.25">
      <c r="C332" s="7"/>
      <c r="D332" s="8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Q332" s="10"/>
    </row>
    <row r="333" spans="3:17" s="5" customFormat="1" x14ac:dyDescent="0.25">
      <c r="C333" s="7"/>
      <c r="D333" s="8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Q333" s="10"/>
    </row>
    <row r="334" spans="3:17" s="5" customFormat="1" x14ac:dyDescent="0.25">
      <c r="C334" s="7"/>
      <c r="D334" s="8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Q334" s="10"/>
    </row>
    <row r="335" spans="3:17" s="5" customFormat="1" x14ac:dyDescent="0.25">
      <c r="C335" s="7"/>
      <c r="D335" s="8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Q335" s="10"/>
    </row>
    <row r="336" spans="3:17" s="5" customFormat="1" x14ac:dyDescent="0.25">
      <c r="C336" s="7"/>
      <c r="D336" s="8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Q336" s="10"/>
    </row>
    <row r="337" spans="3:17" s="5" customFormat="1" x14ac:dyDescent="0.25">
      <c r="C337" s="7"/>
      <c r="D337" s="8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Q337" s="10"/>
    </row>
    <row r="338" spans="3:17" s="5" customFormat="1" x14ac:dyDescent="0.25">
      <c r="C338" s="7"/>
      <c r="D338" s="8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Q338" s="10"/>
    </row>
    <row r="339" spans="3:17" s="5" customFormat="1" x14ac:dyDescent="0.25">
      <c r="C339" s="7"/>
      <c r="D339" s="8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Q339" s="10"/>
    </row>
    <row r="340" spans="3:17" s="5" customFormat="1" x14ac:dyDescent="0.25">
      <c r="C340" s="7"/>
      <c r="D340" s="8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Q340" s="10"/>
    </row>
    <row r="341" spans="3:17" s="5" customFormat="1" x14ac:dyDescent="0.25">
      <c r="C341" s="7"/>
      <c r="D341" s="8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Q341" s="10"/>
    </row>
    <row r="342" spans="3:17" s="5" customFormat="1" x14ac:dyDescent="0.25">
      <c r="C342" s="7"/>
      <c r="D342" s="8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Q342" s="10"/>
    </row>
    <row r="343" spans="3:17" s="5" customFormat="1" x14ac:dyDescent="0.25">
      <c r="C343" s="7"/>
      <c r="D343" s="8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Q343" s="10"/>
    </row>
    <row r="344" spans="3:17" s="5" customFormat="1" x14ac:dyDescent="0.25">
      <c r="C344" s="7"/>
      <c r="D344" s="8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Q344" s="10"/>
    </row>
    <row r="345" spans="3:17" s="5" customFormat="1" x14ac:dyDescent="0.25">
      <c r="C345" s="7"/>
      <c r="D345" s="8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Q345" s="10"/>
    </row>
    <row r="346" spans="3:17" s="5" customFormat="1" x14ac:dyDescent="0.25">
      <c r="C346" s="7"/>
      <c r="D346" s="8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Q346" s="10"/>
    </row>
    <row r="347" spans="3:17" s="5" customFormat="1" x14ac:dyDescent="0.25">
      <c r="C347" s="7"/>
      <c r="D347" s="8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Q347" s="10"/>
    </row>
    <row r="348" spans="3:17" s="5" customFormat="1" x14ac:dyDescent="0.25">
      <c r="C348" s="7"/>
      <c r="D348" s="8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Q348" s="10"/>
    </row>
    <row r="349" spans="3:17" s="5" customFormat="1" x14ac:dyDescent="0.25">
      <c r="C349" s="7"/>
      <c r="D349" s="8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Q349" s="10"/>
    </row>
    <row r="350" spans="3:17" s="5" customFormat="1" x14ac:dyDescent="0.25">
      <c r="C350" s="7"/>
      <c r="D350" s="8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Q350" s="10"/>
    </row>
    <row r="351" spans="3:17" s="5" customFormat="1" x14ac:dyDescent="0.25">
      <c r="C351" s="7"/>
      <c r="D351" s="8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Q351" s="10"/>
    </row>
    <row r="352" spans="3:17" s="5" customFormat="1" x14ac:dyDescent="0.25">
      <c r="C352" s="7"/>
      <c r="D352" s="8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Q352" s="10"/>
    </row>
    <row r="353" spans="3:17" s="5" customFormat="1" x14ac:dyDescent="0.25">
      <c r="C353" s="7"/>
      <c r="D353" s="8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Q353" s="10"/>
    </row>
    <row r="354" spans="3:17" s="5" customFormat="1" x14ac:dyDescent="0.25">
      <c r="C354" s="7"/>
      <c r="D354" s="8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Q354" s="10"/>
    </row>
    <row r="355" spans="3:17" s="5" customFormat="1" x14ac:dyDescent="0.25">
      <c r="C355" s="7"/>
      <c r="D355" s="8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Q355" s="10"/>
    </row>
    <row r="356" spans="3:17" s="5" customFormat="1" x14ac:dyDescent="0.25">
      <c r="C356" s="7"/>
      <c r="D356" s="8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Q356" s="10"/>
    </row>
    <row r="357" spans="3:17" s="5" customFormat="1" x14ac:dyDescent="0.25">
      <c r="C357" s="7"/>
      <c r="D357" s="8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Q357" s="10"/>
    </row>
    <row r="358" spans="3:17" s="5" customFormat="1" x14ac:dyDescent="0.25">
      <c r="C358" s="7"/>
      <c r="D358" s="8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Q358" s="10"/>
    </row>
    <row r="359" spans="3:17" s="5" customFormat="1" x14ac:dyDescent="0.25">
      <c r="C359" s="7"/>
      <c r="D359" s="8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Q359" s="10"/>
    </row>
    <row r="360" spans="3:17" s="5" customFormat="1" x14ac:dyDescent="0.25">
      <c r="C360" s="7"/>
      <c r="D360" s="8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Q360" s="10"/>
    </row>
    <row r="361" spans="3:17" s="5" customFormat="1" x14ac:dyDescent="0.25">
      <c r="C361" s="7"/>
      <c r="D361" s="8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Q361" s="10"/>
    </row>
    <row r="362" spans="3:17" s="5" customFormat="1" x14ac:dyDescent="0.25">
      <c r="C362" s="7"/>
      <c r="D362" s="8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Q362" s="10"/>
    </row>
    <row r="363" spans="3:17" s="5" customFormat="1" x14ac:dyDescent="0.25">
      <c r="C363" s="7"/>
      <c r="D363" s="8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Q363" s="10"/>
    </row>
    <row r="364" spans="3:17" s="5" customFormat="1" x14ac:dyDescent="0.25">
      <c r="C364" s="7"/>
      <c r="D364" s="8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Q364" s="10"/>
    </row>
    <row r="365" spans="3:17" s="5" customFormat="1" x14ac:dyDescent="0.25">
      <c r="C365" s="7"/>
      <c r="D365" s="8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Q365" s="10"/>
    </row>
    <row r="366" spans="3:17" s="5" customFormat="1" x14ac:dyDescent="0.25">
      <c r="C366" s="7"/>
      <c r="D366" s="8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Q366" s="10"/>
    </row>
    <row r="367" spans="3:17" s="5" customFormat="1" x14ac:dyDescent="0.25">
      <c r="C367" s="7"/>
      <c r="D367" s="8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Q367" s="10"/>
    </row>
    <row r="368" spans="3:17" s="5" customFormat="1" x14ac:dyDescent="0.25">
      <c r="C368" s="7"/>
      <c r="D368" s="8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Q368" s="10"/>
    </row>
    <row r="369" spans="3:17" s="5" customFormat="1" x14ac:dyDescent="0.25">
      <c r="C369" s="7"/>
      <c r="D369" s="8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Q369" s="10"/>
    </row>
    <row r="370" spans="3:17" s="5" customFormat="1" x14ac:dyDescent="0.25">
      <c r="C370" s="7"/>
      <c r="D370" s="8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Q370" s="10"/>
    </row>
    <row r="371" spans="3:17" s="5" customFormat="1" x14ac:dyDescent="0.25">
      <c r="C371" s="7"/>
      <c r="D371" s="8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Q371" s="10"/>
    </row>
    <row r="372" spans="3:17" s="5" customFormat="1" x14ac:dyDescent="0.25">
      <c r="C372" s="7"/>
      <c r="D372" s="8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Q372" s="10"/>
    </row>
    <row r="373" spans="3:17" s="5" customFormat="1" x14ac:dyDescent="0.25">
      <c r="C373" s="7"/>
      <c r="D373" s="8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Q373" s="10"/>
    </row>
    <row r="374" spans="3:17" s="5" customFormat="1" x14ac:dyDescent="0.25">
      <c r="C374" s="7"/>
      <c r="D374" s="8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Q374" s="10"/>
    </row>
    <row r="375" spans="3:17" s="5" customFormat="1" x14ac:dyDescent="0.25">
      <c r="C375" s="7"/>
      <c r="D375" s="8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Q375" s="10"/>
    </row>
    <row r="376" spans="3:17" s="5" customFormat="1" x14ac:dyDescent="0.25">
      <c r="C376" s="7"/>
      <c r="D376" s="8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Q376" s="10"/>
    </row>
    <row r="377" spans="3:17" s="5" customFormat="1" x14ac:dyDescent="0.25">
      <c r="C377" s="7"/>
      <c r="D377" s="8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Q377" s="10"/>
    </row>
    <row r="378" spans="3:17" s="5" customFormat="1" x14ac:dyDescent="0.25">
      <c r="C378" s="7"/>
      <c r="D378" s="8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Q378" s="10"/>
    </row>
    <row r="379" spans="3:17" s="5" customFormat="1" x14ac:dyDescent="0.25">
      <c r="C379" s="7"/>
      <c r="D379" s="8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Q379" s="10"/>
    </row>
    <row r="380" spans="3:17" s="5" customFormat="1" x14ac:dyDescent="0.25">
      <c r="C380" s="7"/>
      <c r="D380" s="8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Q380" s="10"/>
    </row>
    <row r="381" spans="3:17" s="5" customFormat="1" x14ac:dyDescent="0.25">
      <c r="C381" s="7"/>
      <c r="D381" s="8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Q381" s="10"/>
    </row>
    <row r="382" spans="3:17" s="5" customFormat="1" x14ac:dyDescent="0.25">
      <c r="C382" s="7"/>
      <c r="D382" s="8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Q382" s="10"/>
    </row>
    <row r="383" spans="3:17" s="5" customFormat="1" x14ac:dyDescent="0.25">
      <c r="C383" s="7"/>
      <c r="D383" s="8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Q383" s="10"/>
    </row>
    <row r="384" spans="3:17" s="5" customFormat="1" x14ac:dyDescent="0.25">
      <c r="C384" s="7"/>
      <c r="D384" s="8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Q384" s="10"/>
    </row>
    <row r="385" spans="3:17" s="5" customFormat="1" x14ac:dyDescent="0.25">
      <c r="C385" s="7"/>
      <c r="D385" s="8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Q385" s="10"/>
    </row>
    <row r="386" spans="3:17" s="5" customFormat="1" x14ac:dyDescent="0.25">
      <c r="C386" s="7"/>
      <c r="D386" s="8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Q386" s="10"/>
    </row>
    <row r="387" spans="3:17" s="5" customFormat="1" x14ac:dyDescent="0.25">
      <c r="C387" s="7"/>
      <c r="D387" s="8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Q387" s="10"/>
    </row>
    <row r="388" spans="3:17" s="5" customFormat="1" x14ac:dyDescent="0.25">
      <c r="C388" s="7"/>
      <c r="D388" s="8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Q388" s="10"/>
    </row>
    <row r="389" spans="3:17" s="5" customFormat="1" x14ac:dyDescent="0.25">
      <c r="C389" s="7"/>
      <c r="D389" s="8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Q389" s="10"/>
    </row>
    <row r="390" spans="3:17" s="5" customFormat="1" x14ac:dyDescent="0.25">
      <c r="C390" s="7"/>
      <c r="D390" s="8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Q390" s="10"/>
    </row>
    <row r="391" spans="3:17" s="5" customFormat="1" x14ac:dyDescent="0.25">
      <c r="C391" s="7"/>
      <c r="D391" s="8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Q391" s="10"/>
    </row>
    <row r="392" spans="3:17" s="5" customFormat="1" x14ac:dyDescent="0.25">
      <c r="C392" s="7"/>
      <c r="D392" s="8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Q392" s="10"/>
    </row>
    <row r="393" spans="3:17" s="5" customFormat="1" x14ac:dyDescent="0.25">
      <c r="C393" s="7"/>
      <c r="D393" s="8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Q393" s="10"/>
    </row>
    <row r="394" spans="3:17" s="5" customFormat="1" x14ac:dyDescent="0.25">
      <c r="C394" s="7"/>
      <c r="D394" s="8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Q394" s="10"/>
    </row>
    <row r="395" spans="3:17" s="5" customFormat="1" x14ac:dyDescent="0.25">
      <c r="C395" s="7"/>
      <c r="D395" s="8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Q395" s="10"/>
    </row>
    <row r="396" spans="3:17" s="5" customFormat="1" x14ac:dyDescent="0.25">
      <c r="C396" s="7"/>
      <c r="D396" s="8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Q396" s="10"/>
    </row>
    <row r="397" spans="3:17" s="5" customFormat="1" x14ac:dyDescent="0.25">
      <c r="C397" s="7"/>
      <c r="D397" s="8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Q397" s="10"/>
    </row>
    <row r="398" spans="3:17" s="5" customFormat="1" x14ac:dyDescent="0.25">
      <c r="C398" s="7"/>
      <c r="D398" s="8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Q398" s="10"/>
    </row>
    <row r="399" spans="3:17" s="5" customFormat="1" x14ac:dyDescent="0.25">
      <c r="C399" s="7"/>
      <c r="D399" s="8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Q399" s="10"/>
    </row>
    <row r="400" spans="3:17" s="5" customFormat="1" x14ac:dyDescent="0.25">
      <c r="C400" s="7"/>
      <c r="D400" s="8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Q400" s="10"/>
    </row>
    <row r="401" spans="3:17" s="5" customFormat="1" x14ac:dyDescent="0.25">
      <c r="C401" s="7"/>
      <c r="D401" s="8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Q401" s="10"/>
    </row>
    <row r="402" spans="3:17" s="5" customFormat="1" x14ac:dyDescent="0.25">
      <c r="C402" s="7"/>
      <c r="D402" s="8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Q402" s="10"/>
    </row>
    <row r="403" spans="3:17" s="5" customFormat="1" x14ac:dyDescent="0.25">
      <c r="C403" s="7"/>
      <c r="D403" s="8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Q403" s="10"/>
    </row>
    <row r="404" spans="3:17" s="5" customFormat="1" x14ac:dyDescent="0.25">
      <c r="C404" s="7"/>
      <c r="D404" s="8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Q404" s="10"/>
    </row>
    <row r="405" spans="3:17" s="5" customFormat="1" x14ac:dyDescent="0.25">
      <c r="C405" s="7"/>
      <c r="D405" s="8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Q405" s="10"/>
    </row>
    <row r="406" spans="3:17" s="5" customFormat="1" x14ac:dyDescent="0.25">
      <c r="C406" s="7"/>
      <c r="D406" s="8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Q406" s="10"/>
    </row>
    <row r="407" spans="3:17" s="5" customFormat="1" x14ac:dyDescent="0.25">
      <c r="C407" s="7"/>
      <c r="D407" s="8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Q407" s="10"/>
    </row>
  </sheetData>
  <sheetProtection algorithmName="SHA-512" hashValue="bLqTm9q9n12JNQoWEO6wLVMolfiWtJiNh7ykmXLpbLu4fO7QFEZiDqR9CV56NRKO/MNKpuBw/NEMi3qCh6FPlg==" saltValue="WDfHX8T5nujhU/ic3EH1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Regresar">
              <controlPr defaultSize="0" print="0" autoFill="0" autoPict="0" macro="[0]!btnRegresar">
                <anchor moveWithCells="1" sizeWithCells="1">
                  <from>
                    <xdr:col>1</xdr:col>
                    <xdr:colOff>171450</xdr:colOff>
                    <xdr:row>0</xdr:row>
                    <xdr:rowOff>85725</xdr:rowOff>
                  </from>
                  <to>
                    <xdr:col>2</xdr:col>
                    <xdr:colOff>381000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tnExportarCSV">
              <controlPr defaultSize="0" print="0" autoFill="0" autoPict="0" macro="[0]!btnExportarCSV">
                <anchor moveWithCells="1" sizeWithCells="1">
                  <from>
                    <xdr:col>4</xdr:col>
                    <xdr:colOff>895350</xdr:colOff>
                    <xdr:row>0</xdr:row>
                    <xdr:rowOff>95250</xdr:rowOff>
                  </from>
                  <to>
                    <xdr:col>6</xdr:col>
                    <xdr:colOff>447675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07CFD-51E6-49D6-8712-8E64E045EB77}">
  <sheetPr codeName="Hoja3"/>
  <dimension ref="A1:L15"/>
  <sheetViews>
    <sheetView workbookViewId="0">
      <selection activeCell="B15" sqref="B15"/>
    </sheetView>
  </sheetViews>
  <sheetFormatPr baseColWidth="10" defaultRowHeight="15" x14ac:dyDescent="0.25"/>
  <cols>
    <col min="1" max="1" width="13.42578125" style="8" customWidth="1"/>
    <col min="2" max="2" width="20.140625" style="12" customWidth="1"/>
    <col min="3" max="3" width="8.7109375" customWidth="1"/>
    <col min="4" max="4" width="17.5703125" customWidth="1"/>
    <col min="5" max="5" width="18.42578125" customWidth="1"/>
    <col min="6" max="6" width="18.5703125" customWidth="1"/>
    <col min="8" max="8" width="17.5703125" customWidth="1"/>
    <col min="9" max="9" width="15.140625" customWidth="1"/>
    <col min="10" max="10" width="19" style="5" customWidth="1"/>
    <col min="11" max="11" width="12.7109375" customWidth="1"/>
    <col min="12" max="12" width="15.7109375" customWidth="1"/>
  </cols>
  <sheetData>
    <row r="1" spans="1:12" x14ac:dyDescent="0.25">
      <c r="A1" s="8" t="s">
        <v>13</v>
      </c>
      <c r="B1" s="12" t="s">
        <v>44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5" t="s">
        <v>56</v>
      </c>
      <c r="K1" s="1" t="s">
        <v>21</v>
      </c>
      <c r="L1" s="1" t="s">
        <v>22</v>
      </c>
    </row>
    <row r="2" spans="1:12" x14ac:dyDescent="0.25">
      <c r="A2" s="8">
        <v>1</v>
      </c>
      <c r="B2" s="12">
        <v>44343</v>
      </c>
      <c r="C2">
        <v>0</v>
      </c>
      <c r="D2">
        <v>16375</v>
      </c>
      <c r="E2">
        <v>586.05999999999995</v>
      </c>
      <c r="F2">
        <v>360.36</v>
      </c>
      <c r="G2">
        <v>215.7</v>
      </c>
      <c r="H2">
        <v>0</v>
      </c>
      <c r="I2">
        <v>0</v>
      </c>
      <c r="J2" s="5">
        <v>0</v>
      </c>
      <c r="K2">
        <v>10</v>
      </c>
      <c r="L2">
        <v>16014.64</v>
      </c>
    </row>
    <row r="3" spans="1:12" x14ac:dyDescent="0.25">
      <c r="A3" s="8">
        <v>2</v>
      </c>
      <c r="B3" s="12">
        <v>44374</v>
      </c>
      <c r="C3">
        <v>0</v>
      </c>
      <c r="D3">
        <v>16014.64</v>
      </c>
      <c r="E3">
        <v>586.05999999999995</v>
      </c>
      <c r="F3">
        <v>358.04</v>
      </c>
      <c r="G3">
        <v>218.02</v>
      </c>
      <c r="H3">
        <v>0</v>
      </c>
      <c r="I3">
        <v>0</v>
      </c>
      <c r="J3" s="5">
        <v>0</v>
      </c>
      <c r="K3">
        <v>10</v>
      </c>
      <c r="L3">
        <v>15656.6</v>
      </c>
    </row>
    <row r="4" spans="1:12" x14ac:dyDescent="0.25">
      <c r="A4" s="8">
        <v>3</v>
      </c>
      <c r="B4" s="12">
        <v>44404</v>
      </c>
      <c r="C4">
        <v>0</v>
      </c>
      <c r="D4">
        <v>15656.6</v>
      </c>
      <c r="E4">
        <v>593.96</v>
      </c>
      <c r="F4">
        <v>369.96</v>
      </c>
      <c r="G4">
        <v>206.1</v>
      </c>
      <c r="H4">
        <v>0</v>
      </c>
      <c r="I4">
        <v>7.9</v>
      </c>
      <c r="J4" s="5">
        <v>0</v>
      </c>
      <c r="K4">
        <v>10</v>
      </c>
      <c r="L4">
        <v>15286.64</v>
      </c>
    </row>
    <row r="5" spans="1:12" x14ac:dyDescent="0.25">
      <c r="A5" s="8">
        <v>4</v>
      </c>
      <c r="B5" s="12">
        <v>44435</v>
      </c>
      <c r="C5">
        <v>0</v>
      </c>
      <c r="D5">
        <v>15286.64</v>
      </c>
      <c r="E5">
        <v>593.96</v>
      </c>
      <c r="F5">
        <v>367.96</v>
      </c>
      <c r="G5">
        <v>208.1</v>
      </c>
      <c r="H5">
        <v>0</v>
      </c>
      <c r="I5">
        <v>7.9</v>
      </c>
      <c r="J5" s="5">
        <v>0</v>
      </c>
      <c r="K5">
        <v>10</v>
      </c>
      <c r="L5">
        <v>14918.68</v>
      </c>
    </row>
    <row r="6" spans="1:12" x14ac:dyDescent="0.25">
      <c r="A6" s="8">
        <v>5</v>
      </c>
      <c r="B6" s="12">
        <v>44466</v>
      </c>
      <c r="C6">
        <v>0</v>
      </c>
      <c r="D6">
        <v>14918.68</v>
      </c>
      <c r="E6">
        <v>593.96</v>
      </c>
      <c r="F6">
        <v>372.92</v>
      </c>
      <c r="G6">
        <v>203.14</v>
      </c>
      <c r="H6">
        <v>0</v>
      </c>
      <c r="I6">
        <v>7.9</v>
      </c>
      <c r="J6" s="5">
        <v>0</v>
      </c>
      <c r="K6">
        <v>10</v>
      </c>
      <c r="L6">
        <v>14545.76</v>
      </c>
    </row>
    <row r="7" spans="1:12" x14ac:dyDescent="0.25">
      <c r="A7" s="8">
        <v>6</v>
      </c>
      <c r="B7" s="12">
        <v>44496</v>
      </c>
      <c r="C7">
        <v>0</v>
      </c>
      <c r="D7">
        <v>14545.76</v>
      </c>
      <c r="E7">
        <v>593.96</v>
      </c>
      <c r="F7">
        <v>384.36</v>
      </c>
      <c r="G7">
        <v>191.7</v>
      </c>
      <c r="H7">
        <v>0</v>
      </c>
      <c r="I7">
        <v>7.9</v>
      </c>
      <c r="J7" s="5">
        <v>0</v>
      </c>
      <c r="K7">
        <v>10</v>
      </c>
      <c r="L7">
        <v>14161.4</v>
      </c>
    </row>
    <row r="8" spans="1:12" x14ac:dyDescent="0.25">
      <c r="A8" s="8">
        <v>7</v>
      </c>
      <c r="B8" s="12">
        <v>44527</v>
      </c>
      <c r="C8">
        <v>0</v>
      </c>
      <c r="D8">
        <v>14161.4</v>
      </c>
      <c r="E8">
        <v>593.96</v>
      </c>
      <c r="F8">
        <v>383.16</v>
      </c>
      <c r="G8">
        <v>192.9</v>
      </c>
      <c r="H8">
        <v>0</v>
      </c>
      <c r="I8">
        <v>7.9</v>
      </c>
      <c r="J8" s="5">
        <v>0</v>
      </c>
      <c r="K8">
        <v>10</v>
      </c>
      <c r="L8">
        <v>13778.24</v>
      </c>
    </row>
    <row r="9" spans="1:12" x14ac:dyDescent="0.25">
      <c r="A9" s="8">
        <v>8</v>
      </c>
      <c r="B9" s="12">
        <v>44557</v>
      </c>
      <c r="C9">
        <v>0</v>
      </c>
      <c r="D9">
        <v>13778.24</v>
      </c>
      <c r="E9">
        <v>593.96</v>
      </c>
      <c r="F9">
        <v>394.56</v>
      </c>
      <c r="G9">
        <v>181.5</v>
      </c>
      <c r="H9">
        <v>0</v>
      </c>
      <c r="I9">
        <v>7.9</v>
      </c>
      <c r="J9" s="5">
        <v>0</v>
      </c>
      <c r="K9">
        <v>10</v>
      </c>
      <c r="L9">
        <v>13383.68</v>
      </c>
    </row>
    <row r="10" spans="1:12" x14ac:dyDescent="0.25">
      <c r="A10" s="8">
        <v>9</v>
      </c>
      <c r="B10" s="12">
        <v>44588</v>
      </c>
      <c r="C10">
        <v>0</v>
      </c>
      <c r="D10">
        <v>13383.68</v>
      </c>
      <c r="E10">
        <v>593.96</v>
      </c>
      <c r="F10">
        <v>393.71</v>
      </c>
      <c r="G10">
        <v>182.35</v>
      </c>
      <c r="H10">
        <v>0</v>
      </c>
      <c r="I10">
        <v>7.9</v>
      </c>
      <c r="J10" s="5">
        <v>0</v>
      </c>
      <c r="K10">
        <v>10</v>
      </c>
      <c r="L10">
        <v>12989.97</v>
      </c>
    </row>
    <row r="11" spans="1:12" x14ac:dyDescent="0.25">
      <c r="A11" s="8">
        <v>10</v>
      </c>
      <c r="B11" s="12">
        <v>44619</v>
      </c>
      <c r="C11">
        <v>0</v>
      </c>
      <c r="D11">
        <v>12989.97</v>
      </c>
      <c r="E11">
        <v>593.96</v>
      </c>
      <c r="F11">
        <v>399.28</v>
      </c>
      <c r="G11">
        <v>176.78</v>
      </c>
      <c r="H11">
        <v>0</v>
      </c>
      <c r="I11">
        <v>7.9</v>
      </c>
      <c r="J11" s="5">
        <v>0</v>
      </c>
      <c r="K11">
        <v>10</v>
      </c>
      <c r="L11">
        <v>12590.69</v>
      </c>
    </row>
    <row r="12" spans="1:12" x14ac:dyDescent="0.25">
      <c r="A12" s="8">
        <v>11</v>
      </c>
      <c r="B12" s="12">
        <v>44647</v>
      </c>
      <c r="C12">
        <v>0</v>
      </c>
      <c r="D12">
        <v>12590.69</v>
      </c>
      <c r="E12">
        <v>593.96</v>
      </c>
      <c r="F12">
        <v>421.22</v>
      </c>
      <c r="G12">
        <v>154.84</v>
      </c>
      <c r="H12">
        <v>0</v>
      </c>
      <c r="I12">
        <v>7.9</v>
      </c>
      <c r="J12" s="5">
        <v>0</v>
      </c>
      <c r="K12">
        <v>10</v>
      </c>
      <c r="L12">
        <v>12169.47</v>
      </c>
    </row>
    <row r="13" spans="1:12" x14ac:dyDescent="0.25">
      <c r="A13" s="8">
        <v>12</v>
      </c>
      <c r="B13" s="12">
        <v>44678</v>
      </c>
      <c r="C13">
        <v>0</v>
      </c>
      <c r="D13">
        <v>12169.47</v>
      </c>
      <c r="E13">
        <v>593.96</v>
      </c>
      <c r="F13">
        <v>410.45</v>
      </c>
      <c r="G13">
        <v>165.61</v>
      </c>
      <c r="H13">
        <v>0</v>
      </c>
      <c r="I13">
        <v>7.9</v>
      </c>
      <c r="J13" s="5">
        <v>0</v>
      </c>
      <c r="K13">
        <v>10</v>
      </c>
      <c r="L13">
        <v>11759.02</v>
      </c>
    </row>
    <row r="14" spans="1:12" x14ac:dyDescent="0.25">
      <c r="A14" s="8">
        <v>13</v>
      </c>
      <c r="B14" s="12">
        <v>44708</v>
      </c>
      <c r="C14">
        <v>0</v>
      </c>
      <c r="D14">
        <v>11759.02</v>
      </c>
      <c r="E14">
        <v>593.96</v>
      </c>
      <c r="F14">
        <v>421.26</v>
      </c>
      <c r="G14">
        <v>154.80000000000001</v>
      </c>
      <c r="H14">
        <v>0</v>
      </c>
      <c r="I14">
        <v>7.9</v>
      </c>
      <c r="J14" s="5">
        <v>0</v>
      </c>
      <c r="K14">
        <v>10</v>
      </c>
      <c r="L14">
        <v>11337.76</v>
      </c>
    </row>
    <row r="15" spans="1:12" x14ac:dyDescent="0.25">
      <c r="A15" s="8">
        <v>14</v>
      </c>
      <c r="B15" s="12">
        <v>44739</v>
      </c>
      <c r="C15">
        <v>0</v>
      </c>
      <c r="D15">
        <v>11337.76</v>
      </c>
      <c r="E15">
        <v>593.96</v>
      </c>
      <c r="F15">
        <v>421.62</v>
      </c>
      <c r="G15">
        <v>154.44</v>
      </c>
      <c r="H15">
        <v>0</v>
      </c>
      <c r="I15">
        <v>7.9</v>
      </c>
      <c r="J15" s="5">
        <v>0</v>
      </c>
      <c r="K15">
        <v>10</v>
      </c>
      <c r="L15">
        <v>10916.14</v>
      </c>
    </row>
  </sheetData>
  <sheetProtection algorithmName="SHA-512" hashValue="UooDRLOvdK0naY4sXl2/FFda3xqzA3lNe/zNa7uYI5VLb0wOSSKH7BpsRMDvLG/B/WLhh6ql/n476PU6/jAnLg==" saltValue="Uz/HPggJAKjBWCCV1fyl1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A44B-71D6-4DF4-8183-1038444A19A8}">
  <sheetPr codeName="Hoja2"/>
  <dimension ref="A1:O12"/>
  <sheetViews>
    <sheetView workbookViewId="0">
      <selection activeCell="B7" sqref="B7"/>
    </sheetView>
  </sheetViews>
  <sheetFormatPr baseColWidth="10" defaultRowHeight="15" x14ac:dyDescent="0.25"/>
  <cols>
    <col min="1" max="1" width="22.28515625" style="3" customWidth="1"/>
    <col min="2" max="2" width="19.42578125" customWidth="1"/>
    <col min="3" max="3" width="20.7109375" customWidth="1"/>
    <col min="5" max="5" width="11.42578125" style="5"/>
    <col min="9" max="9" width="13.140625" customWidth="1"/>
  </cols>
  <sheetData>
    <row r="1" spans="1:15" x14ac:dyDescent="0.25">
      <c r="A1" s="3" t="s">
        <v>46</v>
      </c>
      <c r="B1">
        <v>0</v>
      </c>
      <c r="D1" t="s">
        <v>1</v>
      </c>
      <c r="E1" s="5">
        <v>1</v>
      </c>
      <c r="F1">
        <v>1</v>
      </c>
      <c r="G1" s="6" t="str">
        <f>CONCATENATE(F1,F2,F3,F4,F5,F6,F7,F8,F9,F10,F11,F12)</f>
        <v>111111111111</v>
      </c>
      <c r="I1" s="3" t="s">
        <v>52</v>
      </c>
      <c r="J1" s="27">
        <v>0</v>
      </c>
      <c r="N1" t="s">
        <v>40</v>
      </c>
      <c r="O1">
        <v>1</v>
      </c>
    </row>
    <row r="2" spans="1:15" x14ac:dyDescent="0.25">
      <c r="A2" s="3" t="s">
        <v>53</v>
      </c>
      <c r="B2" s="12">
        <f>IF(Cuotas_Pagadas=0,DATE(YEAR(Fecha_Desembolso),MONTH(Fecha_Desembolso),DAY(Fecha_Desembolso)),MAX(CuotasPagadas!B:B))</f>
        <v>44739</v>
      </c>
      <c r="D2" t="s">
        <v>2</v>
      </c>
      <c r="E2" s="5">
        <v>2</v>
      </c>
      <c r="F2">
        <v>1</v>
      </c>
      <c r="N2" t="s">
        <v>61</v>
      </c>
      <c r="O2">
        <v>2</v>
      </c>
    </row>
    <row r="3" spans="1:15" x14ac:dyDescent="0.25">
      <c r="A3" s="3" t="s">
        <v>58</v>
      </c>
      <c r="B3">
        <f>MAX(Cronograma!D:D)</f>
        <v>31</v>
      </c>
      <c r="D3" t="s">
        <v>3</v>
      </c>
      <c r="E3" s="5">
        <v>3</v>
      </c>
      <c r="F3">
        <v>1</v>
      </c>
    </row>
    <row r="4" spans="1:15" x14ac:dyDescent="0.25">
      <c r="A4" s="3" t="s">
        <v>59</v>
      </c>
      <c r="B4">
        <f>IF(DAY(FechaUltimoPago)&lt;Dia_de_Pago2,MONTH(FechaUltimoPago),MONTH(FechaUltimoPago)+1)+CuotasGraciaTotal</f>
        <v>7</v>
      </c>
      <c r="D4" t="s">
        <v>4</v>
      </c>
      <c r="E4" s="5">
        <v>4</v>
      </c>
      <c r="F4">
        <v>1</v>
      </c>
    </row>
    <row r="5" spans="1:15" x14ac:dyDescent="0.25">
      <c r="A5" s="3" t="s">
        <v>43</v>
      </c>
      <c r="B5" s="27">
        <v>1</v>
      </c>
      <c r="D5" t="s">
        <v>5</v>
      </c>
      <c r="E5" s="5">
        <v>5</v>
      </c>
      <c r="F5">
        <v>1</v>
      </c>
    </row>
    <row r="6" spans="1:15" x14ac:dyDescent="0.25">
      <c r="A6" s="3" t="s">
        <v>62</v>
      </c>
      <c r="B6">
        <v>0</v>
      </c>
      <c r="D6" t="s">
        <v>6</v>
      </c>
      <c r="E6" s="5">
        <v>6</v>
      </c>
      <c r="F6">
        <v>1</v>
      </c>
    </row>
    <row r="7" spans="1:15" x14ac:dyDescent="0.25">
      <c r="A7" s="3" t="s">
        <v>63</v>
      </c>
      <c r="B7" s="7">
        <v>44739</v>
      </c>
      <c r="D7" t="s">
        <v>7</v>
      </c>
      <c r="E7" s="5">
        <v>7</v>
      </c>
      <c r="F7">
        <v>1</v>
      </c>
    </row>
    <row r="8" spans="1:15" x14ac:dyDescent="0.25">
      <c r="D8" t="s">
        <v>8</v>
      </c>
      <c r="E8" s="5">
        <v>8</v>
      </c>
      <c r="F8">
        <v>1</v>
      </c>
    </row>
    <row r="9" spans="1:15" x14ac:dyDescent="0.25">
      <c r="B9" s="8"/>
      <c r="D9" t="s">
        <v>9</v>
      </c>
      <c r="E9" s="5">
        <v>9</v>
      </c>
      <c r="F9">
        <v>1</v>
      </c>
    </row>
    <row r="10" spans="1:15" x14ac:dyDescent="0.25">
      <c r="D10" t="s">
        <v>10</v>
      </c>
      <c r="E10" s="5">
        <v>10</v>
      </c>
      <c r="F10">
        <v>1</v>
      </c>
    </row>
    <row r="11" spans="1:15" x14ac:dyDescent="0.25">
      <c r="D11" t="s">
        <v>11</v>
      </c>
      <c r="E11" s="5">
        <v>11</v>
      </c>
      <c r="F11">
        <v>1</v>
      </c>
    </row>
    <row r="12" spans="1:15" x14ac:dyDescent="0.25">
      <c r="B12" s="8"/>
      <c r="D12" t="s">
        <v>12</v>
      </c>
      <c r="E12" s="5">
        <v>12</v>
      </c>
      <c r="F12">
        <v>1</v>
      </c>
    </row>
  </sheetData>
  <sheetProtection algorithmName="SHA-512" hashValue="zhjj9mfAocXdHU2cacSajbIeB3KWeECc9CS+RZuF8SE3T4+t8R0PcFkpJA+kJOu7oiet3RKx5JDumLrr9wMpDg==" saltValue="BQFkUc9vBcY6861m3+TnR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49</vt:i4>
      </vt:variant>
    </vt:vector>
  </HeadingPairs>
  <TitlesOfParts>
    <vt:vector size="54" baseType="lpstr">
      <vt:lpstr>CHECK</vt:lpstr>
      <vt:lpstr>Inicio</vt:lpstr>
      <vt:lpstr>Cronograma</vt:lpstr>
      <vt:lpstr>CuotasPagadas</vt:lpstr>
      <vt:lpstr>Datos</vt:lpstr>
      <vt:lpstr>Ajuste</vt:lpstr>
      <vt:lpstr>Aporte</vt:lpstr>
      <vt:lpstr>Aporte2</vt:lpstr>
      <vt:lpstr>cronoLinea3</vt:lpstr>
      <vt:lpstr>cronoTramo3</vt:lpstr>
      <vt:lpstr>CuotaDobleEnero</vt:lpstr>
      <vt:lpstr>Cuotas_Pagadas</vt:lpstr>
      <vt:lpstr>Cuotas_Pendientes</vt:lpstr>
      <vt:lpstr>Cuotas_Pendientes2</vt:lpstr>
      <vt:lpstr>CuotasGraciaTotal</vt:lpstr>
      <vt:lpstr>dataSetCronograma</vt:lpstr>
      <vt:lpstr>dataSetCuotasPagadas</vt:lpstr>
      <vt:lpstr>DatosPrestamo</vt:lpstr>
      <vt:lpstr>Desgravamen</vt:lpstr>
      <vt:lpstr>Desgravamen2</vt:lpstr>
      <vt:lpstr>Dia_de_Pago</vt:lpstr>
      <vt:lpstr>Dia_de_Pago2</vt:lpstr>
      <vt:lpstr>DiasCronograma</vt:lpstr>
      <vt:lpstr>EditarPrestamo</vt:lpstr>
      <vt:lpstr>Fecha_Desembolso</vt:lpstr>
      <vt:lpstr>FechaCronograma</vt:lpstr>
      <vt:lpstr>FechaUltimoPago</vt:lpstr>
      <vt:lpstr>InicioCuotas</vt:lpstr>
      <vt:lpstr>InteresFinal</vt:lpstr>
      <vt:lpstr>Mantener</vt:lpstr>
      <vt:lpstr>Meses</vt:lpstr>
      <vt:lpstr>Monto_Cuota</vt:lpstr>
      <vt:lpstr>Monto_Cuota2</vt:lpstr>
      <vt:lpstr>Monto_Desembolso</vt:lpstr>
      <vt:lpstr>MostrarEditar</vt:lpstr>
      <vt:lpstr>MultiploCuota</vt:lpstr>
      <vt:lpstr>Numero</vt:lpstr>
      <vt:lpstr>Periodo</vt:lpstr>
      <vt:lpstr>ProximoMes</vt:lpstr>
      <vt:lpstr>Saldo</vt:lpstr>
      <vt:lpstr>SaldoFinal</vt:lpstr>
      <vt:lpstr>SaltoCuota</vt:lpstr>
      <vt:lpstr>Seguro_Bien</vt:lpstr>
      <vt:lpstr>Seguro_Bien2</vt:lpstr>
      <vt:lpstr>Servicio_Adicional</vt:lpstr>
      <vt:lpstr>Servicio_Adicional2</vt:lpstr>
      <vt:lpstr>T.E.A.</vt:lpstr>
      <vt:lpstr>T.E.M.</vt:lpstr>
      <vt:lpstr>TienePrepagoPend</vt:lpstr>
      <vt:lpstr>TotalCuota</vt:lpstr>
      <vt:lpstr>tramaCabecera</vt:lpstr>
      <vt:lpstr>TramoMayor</vt:lpstr>
      <vt:lpstr>UltimoPagoRegular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Jhoncon</dc:creator>
  <cp:lastModifiedBy>renky</cp:lastModifiedBy>
  <dcterms:created xsi:type="dcterms:W3CDTF">2022-08-15T14:54:41Z</dcterms:created>
  <dcterms:modified xsi:type="dcterms:W3CDTF">2022-08-17T21:31:11Z</dcterms:modified>
</cp:coreProperties>
</file>